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40DA6FA8C21E42EB/Documents/Desktop/DA Secret/EXCEL DATA/"/>
    </mc:Choice>
  </mc:AlternateContent>
  <xr:revisionPtr revIDLastSave="1072" documentId="8_{832CABFF-50BE-40CF-BF5D-5BDE8DBFE7A5}" xr6:coauthVersionLast="47" xr6:coauthVersionMax="47" xr10:uidLastSave="{514FAF43-C442-47A6-9B95-0E54FE3BB9A1}"/>
  <bookViews>
    <workbookView xWindow="-108" yWindow="-108" windowWidth="23256" windowHeight="12456" firstSheet="2" activeTab="7" xr2:uid="{7023FB27-FF77-4C77-B49B-1D14D53F81E7}"/>
  </bookViews>
  <sheets>
    <sheet name="Sheet1" sheetId="1" r:id="rId1"/>
    <sheet name="chart1" sheetId="4" r:id="rId2"/>
    <sheet name="chart2" sheetId="5" r:id="rId3"/>
    <sheet name="chart3" sheetId="6" r:id="rId4"/>
    <sheet name="chart4" sheetId="7" r:id="rId5"/>
    <sheet name="chart5" sheetId="8" r:id="rId6"/>
    <sheet name="project data" sheetId="2" r:id="rId7"/>
    <sheet name="Dashboard" sheetId="3" r:id="rId8"/>
  </sheets>
  <definedNames>
    <definedName name="NativeTimeline_Inv_Date">#N/A</definedName>
    <definedName name="Slicer_Maturity">#N/A</definedName>
    <definedName name="Slicer_Party">#N/A</definedName>
    <definedName name="Slicer_Rating">#N/A</definedName>
    <definedName name="Slicer_Tenure">#N/A</definedName>
    <definedName name="yes">Sheet1!$E$5</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4" i="2" l="1"/>
  <c r="L58" i="1"/>
  <c r="G42" i="1"/>
  <c r="G43" i="1"/>
  <c r="G44" i="1"/>
  <c r="G45" i="1"/>
  <c r="G46" i="1"/>
  <c r="G47" i="1"/>
  <c r="G48" i="1"/>
  <c r="G49" i="1"/>
  <c r="G41" i="1"/>
  <c r="N34" i="1"/>
  <c r="N35" i="1"/>
  <c r="N36" i="1"/>
  <c r="N37" i="1"/>
  <c r="N33" i="1"/>
  <c r="N22" i="1"/>
  <c r="M21" i="1"/>
</calcChain>
</file>

<file path=xl/sharedStrings.xml><?xml version="1.0" encoding="utf-8"?>
<sst xmlns="http://schemas.openxmlformats.org/spreadsheetml/2006/main" count="227" uniqueCount="104">
  <si>
    <t>Column1</t>
  </si>
  <si>
    <t>yes</t>
  </si>
  <si>
    <t>march</t>
  </si>
  <si>
    <t>april</t>
  </si>
  <si>
    <t>may</t>
  </si>
  <si>
    <t>june</t>
  </si>
  <si>
    <t>july</t>
  </si>
  <si>
    <t>august</t>
  </si>
  <si>
    <t>september</t>
  </si>
  <si>
    <t>october</t>
  </si>
  <si>
    <t>november</t>
  </si>
  <si>
    <t>december</t>
  </si>
  <si>
    <t>january</t>
  </si>
  <si>
    <t>february</t>
  </si>
  <si>
    <t>feb</t>
  </si>
  <si>
    <t>mar</t>
  </si>
  <si>
    <t>apr</t>
  </si>
  <si>
    <t>jun</t>
  </si>
  <si>
    <t>jul</t>
  </si>
  <si>
    <t>aug</t>
  </si>
  <si>
    <t>sep</t>
  </si>
  <si>
    <t>oct</t>
  </si>
  <si>
    <t>nov</t>
  </si>
  <si>
    <t>dec</t>
  </si>
  <si>
    <t>jan</t>
  </si>
  <si>
    <t>north</t>
  </si>
  <si>
    <t>start date</t>
  </si>
  <si>
    <t>end date</t>
  </si>
  <si>
    <t>Rating</t>
  </si>
  <si>
    <t>Bonus (in months)</t>
  </si>
  <si>
    <t>Name</t>
  </si>
  <si>
    <t>Ann</t>
  </si>
  <si>
    <t>Bob</t>
  </si>
  <si>
    <t>Chan</t>
  </si>
  <si>
    <t>Don</t>
  </si>
  <si>
    <t>Editt</t>
  </si>
  <si>
    <t>Empid</t>
  </si>
  <si>
    <t>Emp Name</t>
  </si>
  <si>
    <t>Emp Manager</t>
  </si>
  <si>
    <t>Radhika</t>
  </si>
  <si>
    <t>Syed</t>
  </si>
  <si>
    <t>Sunanda</t>
  </si>
  <si>
    <t>Surekha</t>
  </si>
  <si>
    <t>Mahesh</t>
  </si>
  <si>
    <t>Praveen</t>
  </si>
  <si>
    <t>Narender</t>
  </si>
  <si>
    <t>Naresh</t>
  </si>
  <si>
    <t>Gopal</t>
  </si>
  <si>
    <t>Palande</t>
  </si>
  <si>
    <t>Mohin</t>
  </si>
  <si>
    <t>Priyajit</t>
  </si>
  <si>
    <t>Altaf</t>
  </si>
  <si>
    <t>Staff Name</t>
  </si>
  <si>
    <t>Job Title Name</t>
  </si>
  <si>
    <t>Salary</t>
  </si>
  <si>
    <t>Ben</t>
  </si>
  <si>
    <t>Associate</t>
  </si>
  <si>
    <t>$1,500.00</t>
  </si>
  <si>
    <t>Candy</t>
  </si>
  <si>
    <t>$1,300.00</t>
  </si>
  <si>
    <t>Eddy</t>
  </si>
  <si>
    <t>$1,100.00</t>
  </si>
  <si>
    <t>Gwen</t>
  </si>
  <si>
    <t>Manager</t>
  </si>
  <si>
    <t>$3,000.00</t>
  </si>
  <si>
    <t>Andy</t>
  </si>
  <si>
    <t>$2,000.00</t>
  </si>
  <si>
    <t>Angela</t>
  </si>
  <si>
    <t>$4,000.00</t>
  </si>
  <si>
    <t>Han</t>
  </si>
  <si>
    <t>Senior Manager</t>
  </si>
  <si>
    <t>$5,000.00</t>
  </si>
  <si>
    <t>Dave</t>
  </si>
  <si>
    <t>$6,000.00</t>
  </si>
  <si>
    <t>Party</t>
  </si>
  <si>
    <t>Maturity</t>
  </si>
  <si>
    <t>Tenure</t>
  </si>
  <si>
    <t>Inv Date</t>
  </si>
  <si>
    <t>Mat Date</t>
  </si>
  <si>
    <t>Investment</t>
  </si>
  <si>
    <t>Interest Rate</t>
  </si>
  <si>
    <t>Interest Income</t>
  </si>
  <si>
    <t>XYZ</t>
  </si>
  <si>
    <t>B</t>
  </si>
  <si>
    <t>Running</t>
  </si>
  <si>
    <t>Long term</t>
  </si>
  <si>
    <t>Pvt</t>
  </si>
  <si>
    <t>Govt</t>
  </si>
  <si>
    <t>C</t>
  </si>
  <si>
    <t>Mature</t>
  </si>
  <si>
    <t>A</t>
  </si>
  <si>
    <t>Short term</t>
  </si>
  <si>
    <t>Row Labels</t>
  </si>
  <si>
    <t>Grand Total</t>
  </si>
  <si>
    <t>Column Labels</t>
  </si>
  <si>
    <t>Sum of Investment</t>
  </si>
  <si>
    <t>2018</t>
  </si>
  <si>
    <t>2019</t>
  </si>
  <si>
    <t>2020</t>
  </si>
  <si>
    <t>2021</t>
  </si>
  <si>
    <t>2022</t>
  </si>
  <si>
    <t>Average of Investment</t>
  </si>
  <si>
    <t>Average of Interest Rate</t>
  </si>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</sst>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_-[$$-409]* #,##0_ ;_-[$$-409]* \-#,##0\ ;_-[$$-409]* &quot;-&quot;??_ ;_-@_ "/>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B0F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7">
    <xf numFmtId="0" fontId="0" fillId="0" borderId="0" xfId="0"/>
    <xf numFmtId="0" fontId="0" fillId="0" borderId="0" xfId="0" applyAlignment="1">
      <alignment horizontal="right"/>
    </xf>
    <xf numFmtId="14" fontId="0" fillId="0" borderId="0" xfId="0" applyNumberFormat="1"/>
    <xf numFmtId="0" fontId="0" fillId="0" borderId="0" xfId="0" applyAlignment="1">
      <alignment horizontal="right"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17" fontId="0" fillId="0" borderId="0" xfId="0" applyNumberFormat="1" applyAlignment="1">
      <alignment vertical="center" wrapText="1"/>
    </xf>
    <xf numFmtId="164" fontId="0" fillId="0" borderId="0" xfId="0" applyNumberFormat="1"/>
    <xf numFmtId="14" fontId="0" fillId="0" borderId="0" xfId="0" applyNumberFormat="1" applyAlignment="1">
      <alignment horizontal="right" vertical="center" wrapText="1"/>
    </xf>
    <xf numFmtId="9" fontId="0" fillId="0" borderId="0" xfId="0" applyNumberFormat="1" applyAlignment="1">
      <alignment horizontal="right" vertical="center" wrapText="1"/>
    </xf>
    <xf numFmtId="9" fontId="0" fillId="0" borderId="0" xfId="0" applyNumberFormat="1"/>
    <xf numFmtId="165" fontId="0" fillId="0" borderId="0" xfId="0" applyNumberFormat="1"/>
    <xf numFmtId="165" fontId="0" fillId="0" borderId="0" xfId="0" applyNumberFormat="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5">
    <dxf>
      <numFmt numFmtId="165" formatCode="_-[$$-409]* #,##0_ ;_-[$$-409]* \-#,##0\ ;_-[$$-409]* &quot;-&quot;??_ ;_-@_ "/>
      <alignment horizontal="general" vertical="center" textRotation="0" wrapText="1" indent="0" justifyLastLine="0" shrinkToFit="0" readingOrder="0"/>
    </dxf>
    <dxf>
      <numFmt numFmtId="13" formatCode="0%"/>
      <alignment horizontal="right" vertical="center" textRotation="0" wrapText="1" indent="0" justifyLastLine="0" shrinkToFit="0" readingOrder="0"/>
    </dxf>
    <dxf>
      <numFmt numFmtId="165" formatCode="_-[$$-409]* #,##0_ ;_-[$$-409]* \-#,##0\ ;_-[$$-409]* &quot;-&quot;??_ ;_-@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[begin.xlsx]chart1!PivotTable1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Maturity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6447944006998"/>
          <c:y val="7.407407407407407E-2"/>
          <c:w val="0.70685870516185478"/>
          <c:h val="0.84204505686789155"/>
        </c:manualLayout>
      </c:layout>
      <c:barChart>
        <c:barDir val="col"/>
        <c:grouping val="clustered"/>
        <c:varyColors val="0"/>
        <c:ser>
          <c:idx val="0"/>
          <c:order val="0"/>
          <c:tx>
            <c:strRef>
              <c:f>chart1!$B$3:$B$4</c:f>
              <c:strCache>
                <c:ptCount val="1"/>
                <c:pt idx="0">
                  <c:v>Mature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chart1!$A$5:$A$8</c:f>
              <c:strCache>
                <c:ptCount val="3"/>
                <c:pt idx="0">
                  <c:v>Govt</c:v>
                </c:pt>
                <c:pt idx="1">
                  <c:v>Pvt</c:v>
                </c:pt>
                <c:pt idx="2">
                  <c:v>XYZ</c:v>
                </c:pt>
              </c:strCache>
            </c:strRef>
          </c:cat>
          <c:val>
            <c:numRef>
              <c:f>chart1!$B$5:$B$8</c:f>
              <c:numCache>
                <c:formatCode>_-[$$-409]* #,##0_ ;_-[$$-409]* \-#,##0\ ;_-[$$-409]* "-"??_ ;_-@_ </c:formatCode>
                <c:ptCount val="3"/>
                <c:pt idx="0">
                  <c:v>2100</c:v>
                </c:pt>
                <c:pt idx="2">
                  <c:v>500</c:v>
                </c:pt>
              </c:numCache>
            </c:numRef>
          </c:val>
          <c:extLst>
            <c:ext xmlns:c16="http://schemas.microsoft.com/office/drawing/2014/chart" uri="{C3380CC4-5D6E-409C-BE32-E72D297353CC}">
              <c16:uniqueId val="{00000000-730E-49A6-8C31-9540537205BF}"/>
            </c:ext>
          </c:extLst>
        </c:ser>
        <c:ser>
          <c:idx val="1"/>
          <c:order val="1"/>
          <c:tx>
            <c:strRef>
              <c:f>chart1!$C$3:$C$4</c:f>
              <c:strCache>
                <c:ptCount val="1"/>
                <c:pt idx="0">
                  <c:v>Running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chart1!$A$5:$A$8</c:f>
              <c:strCache>
                <c:ptCount val="3"/>
                <c:pt idx="0">
                  <c:v>Govt</c:v>
                </c:pt>
                <c:pt idx="1">
                  <c:v>Pvt</c:v>
                </c:pt>
                <c:pt idx="2">
                  <c:v>XYZ</c:v>
                </c:pt>
              </c:strCache>
            </c:strRef>
          </c:cat>
          <c:val>
            <c:numRef>
              <c:f>chart1!$C$5:$C$8</c:f>
              <c:numCache>
                <c:formatCode>_-[$$-409]* #,##0_ ;_-[$$-409]* \-#,##0\ ;_-[$$-409]* "-"??_ ;_-@_ </c:formatCode>
                <c:ptCount val="3"/>
                <c:pt idx="0">
                  <c:v>1370</c:v>
                </c:pt>
                <c:pt idx="1">
                  <c:v>2950</c:v>
                </c:pt>
                <c:pt idx="2">
                  <c:v>4300</c:v>
                </c:pt>
              </c:numCache>
            </c:numRef>
          </c:val>
          <c:extLst>
            <c:ext xmlns:c16="http://schemas.microsoft.com/office/drawing/2014/chart" uri="{C3380CC4-5D6E-409C-BE32-E72D297353CC}">
              <c16:uniqueId val="{00000002-043E-48A0-BAA0-48EF79A80572}"/>
            </c:ext>
          </c:extLst>
        </c:ser>
        <c:dLbls>
          <c:dLblPos val="outEnd"/>
          <c:showLegendKey val="0"/>
          <c:showVal val="1"/>
          <c:showCatName val="0"/>
          <c:showSerName val="0"/>
          <c:showPercent val="0"/>
          <c:showBubbleSize val="0"/>
        </c:dLbls>
        <c:gapWidth val="219"/>
        <c:overlap val="-27"/>
        <c:axId val="759870752"/>
        <c:axId val="1992588720"/>
      </c:barChart>
      <c:catAx>
        <c:axId val="75987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88720"/>
        <c:crosses val="autoZero"/>
        <c:auto val="1"/>
        <c:lblAlgn val="ctr"/>
        <c:lblOffset val="100"/>
        <c:noMultiLvlLbl val="0"/>
      </c:catAx>
      <c:valAx>
        <c:axId val="199258872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7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[begin.xlsx]chart2!PivotTable2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Investment by Party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2790555732440379E-2"/>
              <c:y val="-7.6023776885180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45-4E43-835C-C803D4506E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45-4E43-835C-C803D4506E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45-4E43-835C-C803D4506EE3}"/>
              </c:ext>
            </c:extLst>
          </c:dPt>
          <c:dLbls>
            <c:dLbl>
              <c:idx val="0"/>
              <c:layout>
                <c:manualLayout>
                  <c:x val="7.2790555732440379E-2"/>
                  <c:y val="-7.602377688518015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45-4E43-835C-C803D4506E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chart2!$A$4:$A$7</c:f>
              <c:strCache>
                <c:ptCount val="3"/>
                <c:pt idx="0">
                  <c:v>Govt</c:v>
                </c:pt>
                <c:pt idx="1">
                  <c:v>Pvt</c:v>
                </c:pt>
                <c:pt idx="2">
                  <c:v>XYZ</c:v>
                </c:pt>
              </c:strCache>
            </c:strRef>
          </c:cat>
          <c:val>
            <c:numRef>
              <c:f>chart2!$B$4:$B$7</c:f>
              <c:numCache>
                <c:formatCode>_-[$$-409]* #,##0_ ;_-[$$-409]* \-#,##0\ ;_-[$$-409]* "-"??_ ;_-@_ </c:formatCode>
                <c:ptCount val="3"/>
                <c:pt idx="0">
                  <c:v>3470</c:v>
                </c:pt>
                <c:pt idx="1">
                  <c:v>2950</c:v>
                </c:pt>
                <c:pt idx="2">
                  <c:v>4800</c:v>
                </c:pt>
              </c:numCache>
            </c:numRef>
          </c:val>
          <c:extLst>
            <c:ext xmlns:c16="http://schemas.microsoft.com/office/drawing/2014/chart" uri="{C3380CC4-5D6E-409C-BE32-E72D297353CC}">
              <c16:uniqueId val="{00000006-2A45-4E43-835C-C803D4506E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[begin.xlsx]chart3!PivotTable3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Interest Rate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64477627320775E-2"/>
          <c:y val="0.1744598787067933"/>
          <c:w val="0.83958683009304635"/>
          <c:h val="0.68278576807681368"/>
        </c:manualLayout>
      </c:layout>
      <c:lineChart>
        <c:grouping val="standard"/>
        <c:varyColors val="0"/>
        <c:ser>
          <c:idx val="0"/>
          <c:order val="0"/>
          <c:tx>
            <c:strRef>
              <c:f>chart3!$B$3</c:f>
              <c:strCache>
                <c:ptCount val="1"/>
                <c:pt idx="0">
                  <c:v>Total</c:v>
                </c:pt>
              </c:strCache>
            </c:strRef>
          </c:tx>
          <c:spPr>
            <a:ln w="28575" cap="rnd">
              <a:solidFill>
                <a:schemeClr val="accent1"/>
              </a:solidFill>
              <a:round/>
            </a:ln>
            <a:effectLst/>
          </c:spPr>
          <c:marker>
            <c:symbol val="none"/>
          </c:marker>
          <c:cat>
            <c:strRef>
              <c:f>chart3!$A$4:$A$9</c:f>
              <c:strCache>
                <c:ptCount val="5"/>
                <c:pt idx="0">
                  <c:v>2018</c:v>
                </c:pt>
                <c:pt idx="1">
                  <c:v>2019</c:v>
                </c:pt>
                <c:pt idx="2">
                  <c:v>2020</c:v>
                </c:pt>
                <c:pt idx="3">
                  <c:v>2021</c:v>
                </c:pt>
                <c:pt idx="4">
                  <c:v>2022</c:v>
                </c:pt>
              </c:strCache>
            </c:strRef>
          </c:cat>
          <c:val>
            <c:numRef>
              <c:f>chart3!$B$4:$B$9</c:f>
              <c:numCache>
                <c:formatCode>0%</c:formatCode>
                <c:ptCount val="5"/>
                <c:pt idx="0">
                  <c:v>8.4999999999999992E-2</c:v>
                </c:pt>
                <c:pt idx="1">
                  <c:v>8.5000000000000006E-2</c:v>
                </c:pt>
                <c:pt idx="2">
                  <c:v>8.5000000000000006E-2</c:v>
                </c:pt>
                <c:pt idx="3">
                  <c:v>0.08</c:v>
                </c:pt>
                <c:pt idx="4">
                  <c:v>9.0000000000000011E-2</c:v>
                </c:pt>
              </c:numCache>
            </c:numRef>
          </c:val>
          <c:smooth val="0"/>
          <c:extLst>
            <c:ext xmlns:c16="http://schemas.microsoft.com/office/drawing/2014/chart" uri="{C3380CC4-5D6E-409C-BE32-E72D297353CC}">
              <c16:uniqueId val="{00000000-C9D8-491E-ACD3-5402A903A4BF}"/>
            </c:ext>
          </c:extLst>
        </c:ser>
        <c:dLbls>
          <c:showLegendKey val="0"/>
          <c:showVal val="0"/>
          <c:showCatName val="0"/>
          <c:showSerName val="0"/>
          <c:showPercent val="0"/>
          <c:showBubbleSize val="0"/>
        </c:dLbls>
        <c:smooth val="0"/>
        <c:axId val="1217178944"/>
        <c:axId val="1992624240"/>
      </c:lineChart>
      <c:catAx>
        <c:axId val="12171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24240"/>
        <c:crosses val="autoZero"/>
        <c:auto val="1"/>
        <c:lblAlgn val="ctr"/>
        <c:lblOffset val="100"/>
        <c:noMultiLvlLbl val="0"/>
      </c:catAx>
      <c:valAx>
        <c:axId val="1992624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7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[begin.xlsx]chart4!PivotTable4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Rating Trend</a:t>
            </a:r>
            <a:endParaRPr lang="en-IN"/>
          </a:p>
        </c:rich>
      </c:tx>
      <c:layout>
        <c:manualLayout>
          <c:xMode val="edge"/>
          <c:yMode val="edge"/>
          <c:x val="0.45266989507231375"/>
          <c:y val="2.672225124424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59184634740574E-2"/>
          <c:y val="9.2113880681920876E-2"/>
          <c:w val="0.83048469345546361"/>
          <c:h val="0.79914312411734889"/>
        </c:manualLayout>
      </c:layout>
      <c:areaChart>
        <c:grouping val="standard"/>
        <c:varyColors val="0"/>
        <c:ser>
          <c:idx val="0"/>
          <c:order val="0"/>
          <c:tx>
            <c:strRef>
              <c:f>chart4!$B$3:$B$4</c:f>
              <c:strCache>
                <c:ptCount val="1"/>
                <c:pt idx="0">
                  <c:v>A</c:v>
                </c:pt>
              </c:strCache>
            </c:strRef>
          </c:tx>
          <c:spPr>
            <a:solidFill>
              <a:schemeClr val="accent1"/>
            </a:solidFill>
            <a:ln>
              <a:noFill/>
            </a:ln>
            <a:effectLst/>
          </c:spPr>
          <c:cat>
            <c:strRef>
              <c:f>chart4!$A$5:$A$10</c:f>
              <c:strCache>
                <c:ptCount val="5"/>
                <c:pt idx="0">
                  <c:v>2018</c:v>
                </c:pt>
                <c:pt idx="1">
                  <c:v>2019</c:v>
                </c:pt>
                <c:pt idx="2">
                  <c:v>2020</c:v>
                </c:pt>
                <c:pt idx="3">
                  <c:v>2021</c:v>
                </c:pt>
                <c:pt idx="4">
                  <c:v>2022</c:v>
                </c:pt>
              </c:strCache>
            </c:strRef>
          </c:cat>
          <c:val>
            <c:numRef>
              <c:f>chart4!$B$5:$B$10</c:f>
              <c:numCache>
                <c:formatCode>_-[$$-409]* #,##0_ ;_-[$$-409]* \-#,##0\ ;_-[$$-409]* "-"??_ ;_-@_ </c:formatCode>
                <c:ptCount val="5"/>
                <c:pt idx="0">
                  <c:v>700</c:v>
                </c:pt>
                <c:pt idx="1">
                  <c:v>670</c:v>
                </c:pt>
                <c:pt idx="3">
                  <c:v>1200</c:v>
                </c:pt>
                <c:pt idx="4">
                  <c:v>2300</c:v>
                </c:pt>
              </c:numCache>
            </c:numRef>
          </c:val>
          <c:extLst>
            <c:ext xmlns:c16="http://schemas.microsoft.com/office/drawing/2014/chart" uri="{C3380CC4-5D6E-409C-BE32-E72D297353CC}">
              <c16:uniqueId val="{00000000-E048-4775-867C-7DEA012A96C9}"/>
            </c:ext>
          </c:extLst>
        </c:ser>
        <c:ser>
          <c:idx val="1"/>
          <c:order val="1"/>
          <c:tx>
            <c:strRef>
              <c:f>chart4!$C$3:$C$4</c:f>
              <c:strCache>
                <c:ptCount val="1"/>
                <c:pt idx="0">
                  <c:v>B</c:v>
                </c:pt>
              </c:strCache>
            </c:strRef>
          </c:tx>
          <c:spPr>
            <a:solidFill>
              <a:schemeClr val="accent2"/>
            </a:solidFill>
            <a:ln w="25400">
              <a:noFill/>
            </a:ln>
            <a:effectLst/>
          </c:spPr>
          <c:cat>
            <c:strRef>
              <c:f>chart4!$A$5:$A$10</c:f>
              <c:strCache>
                <c:ptCount val="5"/>
                <c:pt idx="0">
                  <c:v>2018</c:v>
                </c:pt>
                <c:pt idx="1">
                  <c:v>2019</c:v>
                </c:pt>
                <c:pt idx="2">
                  <c:v>2020</c:v>
                </c:pt>
                <c:pt idx="3">
                  <c:v>2021</c:v>
                </c:pt>
                <c:pt idx="4">
                  <c:v>2022</c:v>
                </c:pt>
              </c:strCache>
            </c:strRef>
          </c:cat>
          <c:val>
            <c:numRef>
              <c:f>chart4!$C$5:$C$10</c:f>
              <c:numCache>
                <c:formatCode>_-[$$-409]* #,##0_ ;_-[$$-409]* \-#,##0\ ;_-[$$-409]* "-"??_ ;_-@_ </c:formatCode>
                <c:ptCount val="5"/>
                <c:pt idx="2">
                  <c:v>500</c:v>
                </c:pt>
                <c:pt idx="4">
                  <c:v>750</c:v>
                </c:pt>
              </c:numCache>
            </c:numRef>
          </c:val>
          <c:extLst>
            <c:ext xmlns:c16="http://schemas.microsoft.com/office/drawing/2014/chart" uri="{C3380CC4-5D6E-409C-BE32-E72D297353CC}">
              <c16:uniqueId val="{00000003-65D0-4B6A-87DD-7FA62F0EDE31}"/>
            </c:ext>
          </c:extLst>
        </c:ser>
        <c:ser>
          <c:idx val="2"/>
          <c:order val="2"/>
          <c:tx>
            <c:strRef>
              <c:f>chart4!$D$3:$D$4</c:f>
              <c:strCache>
                <c:ptCount val="1"/>
                <c:pt idx="0">
                  <c:v>C</c:v>
                </c:pt>
              </c:strCache>
            </c:strRef>
          </c:tx>
          <c:spPr>
            <a:solidFill>
              <a:schemeClr val="accent3"/>
            </a:solidFill>
            <a:ln w="25400">
              <a:noFill/>
            </a:ln>
            <a:effectLst/>
          </c:spPr>
          <c:cat>
            <c:strRef>
              <c:f>chart4!$A$5:$A$10</c:f>
              <c:strCache>
                <c:ptCount val="5"/>
                <c:pt idx="0">
                  <c:v>2018</c:v>
                </c:pt>
                <c:pt idx="1">
                  <c:v>2019</c:v>
                </c:pt>
                <c:pt idx="2">
                  <c:v>2020</c:v>
                </c:pt>
                <c:pt idx="3">
                  <c:v>2021</c:v>
                </c:pt>
                <c:pt idx="4">
                  <c:v>2022</c:v>
                </c:pt>
              </c:strCache>
            </c:strRef>
          </c:cat>
          <c:val>
            <c:numRef>
              <c:f>chart4!$D$5:$D$10</c:f>
              <c:numCache>
                <c:formatCode>_-[$$-409]* #,##0_ ;_-[$$-409]* \-#,##0\ ;_-[$$-409]* "-"??_ ;_-@_ </c:formatCode>
                <c:ptCount val="5"/>
                <c:pt idx="0">
                  <c:v>250</c:v>
                </c:pt>
                <c:pt idx="1">
                  <c:v>683.33333333333337</c:v>
                </c:pt>
                <c:pt idx="2">
                  <c:v>450</c:v>
                </c:pt>
                <c:pt idx="4">
                  <c:v>600</c:v>
                </c:pt>
              </c:numCache>
            </c:numRef>
          </c:val>
          <c:extLst>
            <c:ext xmlns:c16="http://schemas.microsoft.com/office/drawing/2014/chart" uri="{C3380CC4-5D6E-409C-BE32-E72D297353CC}">
              <c16:uniqueId val="{00000005-65D0-4B6A-87DD-7FA62F0EDE31}"/>
            </c:ext>
          </c:extLst>
        </c:ser>
        <c:dLbls>
          <c:showLegendKey val="0"/>
          <c:showVal val="0"/>
          <c:showCatName val="0"/>
          <c:showSerName val="0"/>
          <c:showPercent val="0"/>
          <c:showBubbleSize val="0"/>
        </c:dLbls>
        <c:axId val="759892560"/>
        <c:axId val="1756070416"/>
      </c:areaChart>
      <c:catAx>
        <c:axId val="75989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70416"/>
        <c:crosses val="autoZero"/>
        <c:auto val="1"/>
        <c:lblAlgn val="ctr"/>
        <c:lblOffset val="100"/>
        <c:noMultiLvlLbl val="0"/>
      </c:catAx>
      <c:valAx>
        <c:axId val="175607041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925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372533</xdr:colOff>
      <xdr:row>17</xdr:row>
      <xdr:rowOff>23812</xdr:rowOff>
    </xdr:from>
    <xdr:to>
      <xdr:col>24</xdr:col>
      <xdr:colOff>297656</xdr:colOff>
      <xdr:row>38</xdr:row>
      <xdr:rowOff>169334</xdr:rowOff>
    </xdr:to>
    <xdr:graphicFrame macro="">
      <xdr:nvGraphicFramePr>
        <xdr:cNvPr id="2" name="Chart 1">
          <a:extLst>
            <a:ext uri="{FF2B5EF4-FFF2-40B4-BE49-F238E27FC236}">
              <a16:creationId xmlns:a16="http://schemas.microsoft.com/office/drawing/2014/main" id="{632D4F44-69C4-0753-F8A9-CF590CD5B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34361</xdr:colOff>
      <xdr:row>17</xdr:row>
      <xdr:rowOff>44402</xdr:rowOff>
    </xdr:from>
    <xdr:to>
      <xdr:col>38</xdr:col>
      <xdr:colOff>610425</xdr:colOff>
      <xdr:row>38</xdr:row>
      <xdr:rowOff>150747</xdr:rowOff>
    </xdr:to>
    <xdr:graphicFrame macro="">
      <xdr:nvGraphicFramePr>
        <xdr:cNvPr id="5" name="Chart 2">
          <a:extLst>
            <a:ext uri="{FF2B5EF4-FFF2-40B4-BE49-F238E27FC236}">
              <a16:creationId xmlns:a16="http://schemas.microsoft.com/office/drawing/2014/main" id="{38FFE61E-6363-D95F-A3D5-3F50C4268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369093</xdr:colOff>
      <xdr:row>38</xdr:row>
      <xdr:rowOff>166688</xdr:rowOff>
    </xdr:from>
    <xdr:to>
      <xdr:col>24</xdr:col>
      <xdr:colOff>287867</xdr:colOff>
      <xdr:row>63</xdr:row>
      <xdr:rowOff>152401</xdr:rowOff>
    </xdr:to>
    <xdr:graphicFrame macro="">
      <xdr:nvGraphicFramePr>
        <xdr:cNvPr id="6" name="Chart 2">
          <a:extLst>
            <a:ext uri="{FF2B5EF4-FFF2-40B4-BE49-F238E27FC236}">
              <a16:creationId xmlns:a16="http://schemas.microsoft.com/office/drawing/2014/main" id="{D8FA1AAA-3584-E876-8F2F-72493417E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35719</xdr:colOff>
      <xdr:row>39</xdr:row>
      <xdr:rowOff>0</xdr:rowOff>
    </xdr:from>
    <xdr:to>
      <xdr:col>39</xdr:col>
      <xdr:colOff>11908</xdr:colOff>
      <xdr:row>63</xdr:row>
      <xdr:rowOff>130969</xdr:rowOff>
    </xdr:to>
    <xdr:graphicFrame macro="">
      <xdr:nvGraphicFramePr>
        <xdr:cNvPr id="7" name="Chart 1">
          <a:extLst>
            <a:ext uri="{FF2B5EF4-FFF2-40B4-BE49-F238E27FC236}">
              <a16:creationId xmlns:a16="http://schemas.microsoft.com/office/drawing/2014/main" id="{965A420E-6D91-B749-6E49-E9B1B4D9B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311728</xdr:colOff>
      <xdr:row>11</xdr:row>
      <xdr:rowOff>86591</xdr:rowOff>
    </xdr:from>
    <xdr:to>
      <xdr:col>9</xdr:col>
      <xdr:colOff>566134</xdr:colOff>
      <xdr:row>21</xdr:row>
      <xdr:rowOff>65180</xdr:rowOff>
    </xdr:to>
    <mc:AlternateContent xmlns:mc="http://schemas.openxmlformats.org/markup-compatibility/2006" xmlns:a14="http://schemas.microsoft.com/office/drawing/2010/main">
      <mc:Choice Requires="a14">
        <xdr:graphicFrame macro="">
          <xdr:nvGraphicFramePr>
            <xdr:cNvPr id="9" name="Party">
              <a:extLst>
                <a:ext uri="{FF2B5EF4-FFF2-40B4-BE49-F238E27FC236}">
                  <a16:creationId xmlns:a16="http://schemas.microsoft.com/office/drawing/2014/main" id="{186FCB1A-9EBB-4204-A703-D36F2D88B7E3}"/>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4562259" y="2051122"/>
              <a:ext cx="1468844" cy="1764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346364</xdr:colOff>
      <xdr:row>24</xdr:row>
      <xdr:rowOff>0</xdr:rowOff>
    </xdr:from>
    <xdr:to>
      <xdr:col>9</xdr:col>
      <xdr:colOff>559910</xdr:colOff>
      <xdr:row>34</xdr:row>
      <xdr:rowOff>29370</xdr:rowOff>
    </xdr:to>
    <mc:AlternateContent xmlns:mc="http://schemas.openxmlformats.org/markup-compatibility/2006" xmlns:a14="http://schemas.microsoft.com/office/drawing/2010/main">
      <mc:Choice Requires="a14">
        <xdr:graphicFrame macro="">
          <xdr:nvGraphicFramePr>
            <xdr:cNvPr id="11" name="Rating">
              <a:extLst>
                <a:ext uri="{FF2B5EF4-FFF2-40B4-BE49-F238E27FC236}">
                  <a16:creationId xmlns:a16="http://schemas.microsoft.com/office/drawing/2014/main" id="{A7CC043B-9FAD-4C1C-A3B9-A50F7571B5B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4596895" y="4286250"/>
              <a:ext cx="1427984" cy="1815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346364</xdr:colOff>
      <xdr:row>36</xdr:row>
      <xdr:rowOff>0</xdr:rowOff>
    </xdr:from>
    <xdr:to>
      <xdr:col>9</xdr:col>
      <xdr:colOff>567994</xdr:colOff>
      <xdr:row>47</xdr:row>
      <xdr:rowOff>77129</xdr:rowOff>
    </xdr:to>
    <mc:AlternateContent xmlns:mc="http://schemas.openxmlformats.org/markup-compatibility/2006" xmlns:a14="http://schemas.microsoft.com/office/drawing/2010/main">
      <mc:Choice Requires="a14">
        <xdr:graphicFrame macro="">
          <xdr:nvGraphicFramePr>
            <xdr:cNvPr id="12" name="Maturity">
              <a:extLst>
                <a:ext uri="{FF2B5EF4-FFF2-40B4-BE49-F238E27FC236}">
                  <a16:creationId xmlns:a16="http://schemas.microsoft.com/office/drawing/2014/main" id="{94087444-1E1C-48AC-8CCF-0860237CC6EC}"/>
                </a:ext>
              </a:extLst>
            </xdr:cNvPr>
            <xdr:cNvGraphicFramePr/>
          </xdr:nvGraphicFramePr>
          <xdr:xfrm>
            <a:off x="0" y="0"/>
            <a:ext cx="0" cy="0"/>
          </xdr:xfrm>
          <a:graphic>
            <a:graphicData uri="http://schemas.microsoft.com/office/drawing/2010/slicer">
              <sle:slicer xmlns:sle="http://schemas.microsoft.com/office/drawing/2010/slicer" name="Maturity"/>
            </a:graphicData>
          </a:graphic>
        </xdr:graphicFrame>
      </mc:Choice>
      <mc:Fallback xmlns="">
        <xdr:sp macro="" textlink="">
          <xdr:nvSpPr>
            <xdr:cNvPr id="0" name=""/>
            <xdr:cNvSpPr>
              <a:spLocks noTextEdit="1"/>
            </xdr:cNvSpPr>
          </xdr:nvSpPr>
          <xdr:spPr>
            <a:xfrm>
              <a:off x="4596895" y="6429375"/>
              <a:ext cx="1436068" cy="204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49</xdr:row>
      <xdr:rowOff>34636</xdr:rowOff>
    </xdr:from>
    <xdr:to>
      <xdr:col>9</xdr:col>
      <xdr:colOff>563019</xdr:colOff>
      <xdr:row>60</xdr:row>
      <xdr:rowOff>52731</xdr:rowOff>
    </xdr:to>
    <mc:AlternateContent xmlns:mc="http://schemas.openxmlformats.org/markup-compatibility/2006" xmlns:a14="http://schemas.microsoft.com/office/drawing/2010/main">
      <mc:Choice Requires="a14">
        <xdr:graphicFrame macro="">
          <xdr:nvGraphicFramePr>
            <xdr:cNvPr id="13" name="Tenure">
              <a:extLst>
                <a:ext uri="{FF2B5EF4-FFF2-40B4-BE49-F238E27FC236}">
                  <a16:creationId xmlns:a16="http://schemas.microsoft.com/office/drawing/2014/main" id="{BB623B3A-BDB5-4D68-A168-597B4BFDCB86}"/>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4631531" y="8785730"/>
              <a:ext cx="1396457" cy="1982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372532</xdr:colOff>
      <xdr:row>8</xdr:row>
      <xdr:rowOff>84666</xdr:rowOff>
    </xdr:from>
    <xdr:to>
      <xdr:col>39</xdr:col>
      <xdr:colOff>0</xdr:colOff>
      <xdr:row>17</xdr:row>
      <xdr:rowOff>16933</xdr:rowOff>
    </xdr:to>
    <mc:AlternateContent xmlns:mc="http://schemas.openxmlformats.org/markup-compatibility/2006" xmlns:tsle="http://schemas.microsoft.com/office/drawing/2012/timeslicer">
      <mc:Choice Requires="tsle">
        <xdr:graphicFrame macro="">
          <xdr:nvGraphicFramePr>
            <xdr:cNvPr id="14" name="Inv Date">
              <a:extLst>
                <a:ext uri="{FF2B5EF4-FFF2-40B4-BE49-F238E27FC236}">
                  <a16:creationId xmlns:a16="http://schemas.microsoft.com/office/drawing/2014/main" id="{442BAB6C-F067-4275-ACC4-DB51473826D8}"/>
                </a:ext>
              </a:extLst>
            </xdr:cNvPr>
            <xdr:cNvGraphicFramePr/>
          </xdr:nvGraphicFramePr>
          <xdr:xfrm>
            <a:off x="0" y="0"/>
            <a:ext cx="0" cy="0"/>
          </xdr:xfrm>
          <a:graphic>
            <a:graphicData uri="http://schemas.microsoft.com/office/drawing/2012/timeslicer">
              <tsle:timeslicer name="Inv Date"/>
            </a:graphicData>
          </a:graphic>
        </xdr:graphicFrame>
      </mc:Choice>
      <mc:Fallback xmlns="">
        <xdr:sp macro="" textlink="">
          <xdr:nvSpPr>
            <xdr:cNvPr id="0" name=""/>
            <xdr:cNvSpPr>
              <a:spLocks noTextEdit="1"/>
            </xdr:cNvSpPr>
          </xdr:nvSpPr>
          <xdr:spPr>
            <a:xfrm>
              <a:off x="6444720" y="1513416"/>
              <a:ext cx="17236811" cy="15396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270932</xdr:colOff>
      <xdr:row>3</xdr:row>
      <xdr:rowOff>101600</xdr:rowOff>
    </xdr:from>
    <xdr:to>
      <xdr:col>33</xdr:col>
      <xdr:colOff>67733</xdr:colOff>
      <xdr:row>7</xdr:row>
      <xdr:rowOff>67733</xdr:rowOff>
    </xdr:to>
    <xdr:sp macro="" textlink="">
      <xdr:nvSpPr>
        <xdr:cNvPr id="15" name="TextBox 14">
          <a:extLst>
            <a:ext uri="{FF2B5EF4-FFF2-40B4-BE49-F238E27FC236}">
              <a16:creationId xmlns:a16="http://schemas.microsoft.com/office/drawing/2014/main" id="{C092F7B3-ED91-FDDC-6031-C6D61922994D}"/>
            </a:ext>
          </a:extLst>
        </xdr:cNvPr>
        <xdr:cNvSpPr txBox="1"/>
      </xdr:nvSpPr>
      <xdr:spPr>
        <a:xfrm>
          <a:off x="7586132" y="660400"/>
          <a:ext cx="12598401" cy="7112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solidFill>
                <a:srgbClr val="00B0F0"/>
              </a:solidFill>
              <a:latin typeface="Aharoni" panose="020F0502020204030204" pitchFamily="2" charset="-79"/>
              <a:cs typeface="Aharoni" panose="020F0502020204030204" pitchFamily="2" charset="-79"/>
            </a:rPr>
            <a:t>INVESTMENT DASHBOARD</a:t>
          </a:r>
        </a:p>
        <a:p>
          <a:pPr algn="ctr"/>
          <a:endParaRPr lang="en-IN" sz="3600">
            <a:solidFill>
              <a:srgbClr val="00B0F0"/>
            </a:solidFill>
            <a:latin typeface="Aharoni" panose="020F0502020204030204" pitchFamily="2" charset="-79"/>
            <a:cs typeface="Aharoni" panose="020F0502020204030204" pitchFamily="2" charset="-79"/>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 refreshedDate="46302.548485069441" createdVersion="8" refreshedVersion="8" minRefreshableVersion="3" recordCount="15" xr:uid="{85A6FB7C-5D82-4C73-99A8-8D8EB56FE6E7}">
  <cacheSource type="worksheet">
    <worksheetSource name="Table3"/>
  </cacheSource>
  <cacheFields count="12">
    <cacheField name="Party" numFmtId="0">
      <sharedItems count="3">
        <s v="XYZ"/>
        <s v="Pvt"/>
        <s v="Govt"/>
      </sharedItems>
    </cacheField>
    <cacheField name="Rating" numFmtId="0">
      <sharedItems count="3">
        <s v="B"/>
        <s v="C"/>
        <s v="A"/>
      </sharedItems>
    </cacheField>
    <cacheField name="Maturity" numFmtId="0">
      <sharedItems count="2">
        <s v="Running"/>
        <s v="Mature"/>
      </sharedItems>
    </cacheField>
    <cacheField name="Tenure" numFmtId="0">
      <sharedItems count="2">
        <s v="Long term"/>
        <s v="Short term"/>
      </sharedItems>
    </cacheField>
    <cacheField name="Inv Date" numFmtId="14">
      <sharedItems containsSemiMixedTypes="0" containsNonDate="0" containsDate="1" containsString="0" minDate="2018-04-13T00:00:00" maxDate="2022-08-18T00:00:00" count="12">
        <d v="2020-02-12T00:00:00"/>
        <d v="2020-06-15T00:00:00"/>
        <d v="2019-08-23T00:00:00"/>
        <d v="2021-05-30T00:00:00"/>
        <d v="2019-07-05T00:00:00"/>
        <d v="2018-09-04T00:00:00"/>
        <d v="2022-07-07T00:00:00"/>
        <d v="2022-07-23T00:00:00"/>
        <d v="2020-06-06T00:00:00"/>
        <d v="2022-08-17T00:00:00"/>
        <d v="2019-05-13T00:00:00"/>
        <d v="2018-04-13T00:00:00"/>
      </sharedItems>
      <fieldGroup par="11"/>
    </cacheField>
    <cacheField name="Mat Date" numFmtId="14">
      <sharedItems containsSemiMixedTypes="0" containsNonDate="0" containsDate="1" containsString="0" minDate="2021-04-13T00:00:00" maxDate="2023-08-18T00:00:00"/>
    </cacheField>
    <cacheField name="Investment" numFmtId="165">
      <sharedItems containsSemiMixedTypes="0" containsString="0" containsNumber="1" containsInteger="1" minValue="250" maxValue="2300"/>
    </cacheField>
    <cacheField name="Interest Rate" numFmtId="9">
      <sharedItems containsSemiMixedTypes="0" containsString="0" containsNumber="1" minValue="0.06" maxValue="0.11"/>
    </cacheField>
    <cacheField name="Interest Income" numFmtId="165">
      <sharedItems containsSemiMixedTypes="0" containsString="0" containsNumber="1" containsInteger="1" minValue="20" maxValue="184"/>
    </cacheField>
    <cacheField name="Months (Inv Date)" numFmtId="0" databaseField="0">
      <fieldGroup base="4">
        <rangePr groupBy="months" startDate="2018-04-13T00:00:00" endDate="2022-08-18T00:00:00"/>
        <groupItems count="14">
          <s v="&lt;13-04-2018"/>
          <s v="Jan"/>
          <s v="Feb"/>
          <s v="Mar"/>
          <s v="Apr"/>
          <s v="May"/>
          <s v="Jun"/>
          <s v="Jul"/>
          <s v="Aug"/>
          <s v="Sep"/>
          <s v="Oct"/>
          <s v="Nov"/>
          <s v="Dec"/>
          <s v="&gt;18-08-2022"/>
        </groupItems>
      </fieldGroup>
    </cacheField>
    <cacheField name="Quarters (Inv Date)" numFmtId="0" databaseField="0">
      <fieldGroup base="4">
        <rangePr groupBy="quarters" startDate="2018-04-13T00:00:00" endDate="2022-08-18T00:00:00"/>
        <groupItems count="6">
          <s v="&lt;13-04-2018"/>
          <s v="Qtr1"/>
          <s v="Qtr2"/>
          <s v="Qtr3"/>
          <s v="Qtr4"/>
          <s v="&gt;18-08-2022"/>
        </groupItems>
      </fieldGroup>
    </cacheField>
    <cacheField name="Years (Inv Date)" numFmtId="0" databaseField="0">
      <fieldGroup base="4">
        <rangePr groupBy="years" startDate="2018-04-13T00:00:00" endDate="2022-08-18T00:00:00"/>
        <groupItems count="7">
          <s v="&lt;13-04-2018"/>
          <s v="2018"/>
          <s v="2019"/>
          <s v="2020"/>
          <s v="2021"/>
          <s v="2022"/>
          <s v="&gt;18-08-2022"/>
        </groupItems>
      </fieldGroup>
    </cacheField>
  </cacheFields>
  <extLst>
    <ext xmlns:x14="http://schemas.microsoft.com/office/spreadsheetml/2009/9/main" uri="{725AE2AE-9491-48be-B2B4-4EB974FC3084}">
      <x14:pivotCacheDefinition pivotCacheId="1476484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d v="2023-02-12T00:00:00"/>
    <n v="500"/>
    <n v="0.09"/>
    <n v="45"/>
  </r>
  <r>
    <x v="1"/>
    <x v="0"/>
    <x v="0"/>
    <x v="0"/>
    <x v="0"/>
    <d v="2023-02-12T00:00:00"/>
    <n v="500"/>
    <n v="0.1"/>
    <n v="50"/>
  </r>
  <r>
    <x v="2"/>
    <x v="1"/>
    <x v="0"/>
    <x v="0"/>
    <x v="1"/>
    <d v="2023-06-15T00:00:00"/>
    <n v="450"/>
    <n v="0.09"/>
    <n v="41"/>
  </r>
  <r>
    <x v="2"/>
    <x v="1"/>
    <x v="1"/>
    <x v="0"/>
    <x v="2"/>
    <d v="2022-08-23T00:00:00"/>
    <n v="900"/>
    <n v="0.1"/>
    <n v="90"/>
  </r>
  <r>
    <x v="2"/>
    <x v="2"/>
    <x v="1"/>
    <x v="1"/>
    <x v="3"/>
    <d v="2022-05-30T00:00:00"/>
    <n v="1200"/>
    <n v="0.08"/>
    <n v="96"/>
  </r>
  <r>
    <x v="2"/>
    <x v="2"/>
    <x v="0"/>
    <x v="0"/>
    <x v="4"/>
    <d v="2022-07-05T00:00:00"/>
    <n v="670"/>
    <n v="7.0000000000000007E-2"/>
    <n v="47"/>
  </r>
  <r>
    <x v="1"/>
    <x v="2"/>
    <x v="0"/>
    <x v="0"/>
    <x v="5"/>
    <d v="2022-09-04T00:00:00"/>
    <n v="700"/>
    <n v="0.09"/>
    <n v="63"/>
  </r>
  <r>
    <x v="0"/>
    <x v="1"/>
    <x v="1"/>
    <x v="0"/>
    <x v="4"/>
    <d v="2022-07-05T00:00:00"/>
    <n v="500"/>
    <n v="0.09"/>
    <n v="45"/>
  </r>
  <r>
    <x v="0"/>
    <x v="0"/>
    <x v="0"/>
    <x v="1"/>
    <x v="6"/>
    <d v="2023-07-07T00:00:00"/>
    <n v="1200"/>
    <n v="0.11"/>
    <n v="132"/>
  </r>
  <r>
    <x v="0"/>
    <x v="2"/>
    <x v="0"/>
    <x v="1"/>
    <x v="7"/>
    <d v="2023-07-23T00:00:00"/>
    <n v="2300"/>
    <n v="0.08"/>
    <n v="184"/>
  </r>
  <r>
    <x v="0"/>
    <x v="0"/>
    <x v="0"/>
    <x v="1"/>
    <x v="7"/>
    <d v="2023-07-23T00:00:00"/>
    <n v="300"/>
    <n v="0.09"/>
    <n v="27"/>
  </r>
  <r>
    <x v="1"/>
    <x v="0"/>
    <x v="0"/>
    <x v="0"/>
    <x v="8"/>
    <d v="2023-06-06T00:00:00"/>
    <n v="500"/>
    <n v="0.06"/>
    <n v="30"/>
  </r>
  <r>
    <x v="1"/>
    <x v="1"/>
    <x v="0"/>
    <x v="1"/>
    <x v="9"/>
    <d v="2023-08-17T00:00:00"/>
    <n v="600"/>
    <n v="0.08"/>
    <n v="48"/>
  </r>
  <r>
    <x v="1"/>
    <x v="1"/>
    <x v="0"/>
    <x v="0"/>
    <x v="10"/>
    <d v="2022-05-13T00:00:00"/>
    <n v="650"/>
    <n v="0.08"/>
    <n v="52"/>
  </r>
  <r>
    <x v="2"/>
    <x v="1"/>
    <x v="0"/>
    <x v="0"/>
    <x v="11"/>
    <d v="2021-04-13T00:00:00"/>
    <n v="250"/>
    <n v="0.08"/>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E88F4-9E46-4C39-A85E-2E6DB239566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D8" firstHeaderRow="1" firstDataRow="2" firstDataCol="1"/>
  <pivotFields count="12">
    <pivotField axis="axisRow" showAll="0">
      <items count="4">
        <item x="2"/>
        <item x="1"/>
        <item x="0"/>
        <item t="default"/>
      </items>
    </pivotField>
    <pivotField showAll="0">
      <items count="4">
        <item x="2"/>
        <item x="0"/>
        <item x="1"/>
        <item t="default"/>
      </items>
    </pivotField>
    <pivotField axis="axisCol" showAll="0">
      <items count="3">
        <item x="1"/>
        <item x="0"/>
        <item t="default"/>
      </items>
    </pivotField>
    <pivotField showAll="0">
      <items count="3">
        <item x="0"/>
        <item x="1"/>
        <item t="default"/>
      </items>
    </pivotField>
    <pivotField numFmtId="14" showAll="0">
      <items count="13">
        <item x="11"/>
        <item x="5"/>
        <item x="10"/>
        <item x="4"/>
        <item x="2"/>
        <item x="0"/>
        <item x="8"/>
        <item x="1"/>
        <item x="3"/>
        <item x="6"/>
        <item x="7"/>
        <item x="9"/>
        <item t="default"/>
      </items>
    </pivotField>
    <pivotField numFmtId="14" showAll="0"/>
    <pivotField dataField="1" numFmtId="165" showAll="0"/>
    <pivotField numFmtId="9"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4">
    <i>
      <x/>
    </i>
    <i>
      <x v="1"/>
    </i>
    <i>
      <x v="2"/>
    </i>
    <i t="grand">
      <x/>
    </i>
  </rowItems>
  <colFields count="1">
    <field x="2"/>
  </colFields>
  <colItems count="3">
    <i>
      <x/>
    </i>
    <i>
      <x v="1"/>
    </i>
    <i t="grand">
      <x/>
    </i>
  </colItems>
  <dataFields count="1">
    <dataField name="Sum of Investment" fld="6" baseField="0" baseItem="0" numFmtId="165"/>
  </dataFields>
  <chartFormats count="2">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8CC9D-6480-4E73-9614-08094AFAE02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12">
    <pivotField axis="axisRow" showAll="0">
      <items count="4">
        <item x="2"/>
        <item x="1"/>
        <item x="0"/>
        <item t="default"/>
      </items>
    </pivotField>
    <pivotField showAll="0">
      <items count="4">
        <item x="2"/>
        <item x="0"/>
        <item x="1"/>
        <item t="default"/>
      </items>
    </pivotField>
    <pivotField showAll="0">
      <items count="3">
        <item x="1"/>
        <item x="0"/>
        <item t="default"/>
      </items>
    </pivotField>
    <pivotField showAll="0">
      <items count="3">
        <item x="0"/>
        <item x="1"/>
        <item t="default"/>
      </items>
    </pivotField>
    <pivotField numFmtId="14" showAll="0">
      <items count="13">
        <item x="11"/>
        <item x="5"/>
        <item x="10"/>
        <item x="4"/>
        <item x="2"/>
        <item x="0"/>
        <item x="8"/>
        <item x="1"/>
        <item x="3"/>
        <item x="6"/>
        <item x="7"/>
        <item x="9"/>
        <item t="default"/>
      </items>
    </pivotField>
    <pivotField numFmtId="14" showAll="0"/>
    <pivotField dataField="1" numFmtId="165" showAll="0"/>
    <pivotField numFmtId="9"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4">
    <i>
      <x/>
    </i>
    <i>
      <x v="1"/>
    </i>
    <i>
      <x v="2"/>
    </i>
    <i t="grand">
      <x/>
    </i>
  </rowItems>
  <colItems count="1">
    <i/>
  </colItems>
  <dataFields count="1">
    <dataField name="Sum of Investment" fld="6" baseField="0" baseItem="0" numFmtId="165"/>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DD6155-187A-499A-AD24-6142ECC01EA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2">
    <pivotField showAll="0">
      <items count="4">
        <item x="2"/>
        <item x="1"/>
        <item x="0"/>
        <item t="default"/>
      </items>
    </pivotField>
    <pivotField showAll="0">
      <items count="4">
        <item x="2"/>
        <item x="0"/>
        <item x="1"/>
        <item t="default"/>
      </items>
    </pivotField>
    <pivotField showAll="0">
      <items count="3">
        <item x="1"/>
        <item x="0"/>
        <item t="default"/>
      </items>
    </pivotField>
    <pivotField showAll="0">
      <items count="3">
        <item x="0"/>
        <item x="1"/>
        <item t="default"/>
      </items>
    </pivotField>
    <pivotField axis="axisRow" numFmtId="14" showAll="0">
      <items count="13">
        <item x="11"/>
        <item x="5"/>
        <item x="10"/>
        <item x="4"/>
        <item x="2"/>
        <item x="0"/>
        <item x="8"/>
        <item x="1"/>
        <item x="3"/>
        <item x="6"/>
        <item x="7"/>
        <item x="9"/>
        <item t="default"/>
      </items>
    </pivotField>
    <pivotField numFmtId="14" showAll="0"/>
    <pivotField numFmtId="165" showAll="0"/>
    <pivotField dataField="1" numFmtId="9"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1"/>
    <field x="10"/>
    <field x="9"/>
    <field x="4"/>
  </rowFields>
  <rowItems count="6">
    <i>
      <x v="1"/>
    </i>
    <i>
      <x v="2"/>
    </i>
    <i>
      <x v="3"/>
    </i>
    <i>
      <x v="4"/>
    </i>
    <i>
      <x v="5"/>
    </i>
    <i t="grand">
      <x/>
    </i>
  </rowItems>
  <colItems count="1">
    <i/>
  </colItems>
  <dataFields count="1">
    <dataField name="Average of Interest Rate" fld="7" subtotal="average" baseField="0" baseItem="0" numFmtId="9"/>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72CF52-6A86-41D7-866A-DE7EA279EEB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E10" firstHeaderRow="1" firstDataRow="2" firstDataCol="1"/>
  <pivotFields count="12">
    <pivotField showAll="0">
      <items count="4">
        <item x="2"/>
        <item x="1"/>
        <item x="0"/>
        <item t="default"/>
      </items>
    </pivotField>
    <pivotField axis="axisCol" showAll="0">
      <items count="4">
        <item x="2"/>
        <item x="0"/>
        <item x="1"/>
        <item t="default"/>
      </items>
    </pivotField>
    <pivotField showAll="0">
      <items count="3">
        <item x="1"/>
        <item x="0"/>
        <item t="default"/>
      </items>
    </pivotField>
    <pivotField showAll="0">
      <items count="3">
        <item x="0"/>
        <item x="1"/>
        <item t="default"/>
      </items>
    </pivotField>
    <pivotField axis="axisRow" numFmtId="14" showAll="0">
      <items count="13">
        <item x="11"/>
        <item x="5"/>
        <item x="10"/>
        <item x="4"/>
        <item x="2"/>
        <item x="0"/>
        <item x="8"/>
        <item x="1"/>
        <item x="3"/>
        <item x="6"/>
        <item x="7"/>
        <item x="9"/>
        <item t="default"/>
      </items>
    </pivotField>
    <pivotField numFmtId="14" showAll="0"/>
    <pivotField dataField="1" numFmtId="165" showAll="0"/>
    <pivotField numFmtId="9"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11"/>
    <field x="10"/>
    <field x="9"/>
    <field x="4"/>
  </rowFields>
  <rowItems count="6">
    <i>
      <x v="1"/>
    </i>
    <i>
      <x v="2"/>
    </i>
    <i>
      <x v="3"/>
    </i>
    <i>
      <x v="4"/>
    </i>
    <i>
      <x v="5"/>
    </i>
    <i t="grand">
      <x/>
    </i>
  </rowItems>
  <colFields count="1">
    <field x="1"/>
  </colFields>
  <colItems count="4">
    <i>
      <x/>
    </i>
    <i>
      <x v="1"/>
    </i>
    <i>
      <x v="2"/>
    </i>
    <i t="grand">
      <x/>
    </i>
  </colItems>
  <dataFields count="1">
    <dataField name="Average of Investment" fld="6" subtotal="average" baseField="0" baseItem="0" numFmtId="165"/>
  </dataFields>
  <chartFormats count="3">
    <chartFormat chart="2" format="3"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2A1D4-455E-4D47-B981-FE3B469302D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12">
    <pivotField showAll="0">
      <items count="4">
        <item x="2"/>
        <item x="1"/>
        <item x="0"/>
        <item t="default"/>
      </items>
    </pivotField>
    <pivotField showAll="0">
      <items count="4">
        <item x="2"/>
        <item x="0"/>
        <item x="1"/>
        <item t="default"/>
      </items>
    </pivotField>
    <pivotField showAll="0">
      <items count="3">
        <item x="1"/>
        <item x="0"/>
        <item t="default"/>
      </items>
    </pivotField>
    <pivotField showAll="0">
      <items count="3">
        <item x="0"/>
        <item x="1"/>
        <item t="default"/>
      </items>
    </pivotField>
    <pivotField numFmtId="14" showAll="0">
      <items count="13">
        <item x="11"/>
        <item x="5"/>
        <item x="10"/>
        <item x="4"/>
        <item x="2"/>
        <item x="0"/>
        <item x="8"/>
        <item x="1"/>
        <item x="3"/>
        <item x="6"/>
        <item x="7"/>
        <item x="9"/>
        <item t="default"/>
      </items>
    </pivotField>
    <pivotField numFmtId="14" showAll="0"/>
    <pivotField numFmtId="165" showAll="0"/>
    <pivotField numFmtId="9" showAll="0"/>
    <pivotField numFmtId="165" showAll="0"/>
    <pivotField showAll="0" defaultSubtotal="0"/>
    <pivotField showAll="0" defaultSubtotal="0"/>
    <pivotField showAll="0" defaultSubtotal="0">
      <items count="7">
        <item x="0"/>
        <item x="1"/>
        <item x="2"/>
        <item x="3"/>
        <item x="4"/>
        <item x="5"/>
        <item x="6"/>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26E06BAF-335B-47F1-9526-7623A34AA1BA}" sourceName="Party">
  <pivotTables>
    <pivotTable tabId="6" name="PivotTable3"/>
    <pivotTable tabId="4" name="PivotTable1"/>
    <pivotTable tabId="5" name="PivotTable2"/>
    <pivotTable tabId="7" name="PivotTable4"/>
    <pivotTable tabId="8" name="PivotTable5"/>
  </pivotTables>
  <data>
    <tabular pivotCacheId="147648444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ECF9C7E-2B31-4A4B-B41D-3814BD1ED4AD}" sourceName="Rating">
  <pivotTables>
    <pivotTable tabId="6" name="PivotTable3"/>
    <pivotTable tabId="4" name="PivotTable1"/>
    <pivotTable tabId="5" name="PivotTable2"/>
    <pivotTable tabId="7" name="PivotTable4"/>
    <pivotTable tabId="8" name="PivotTable5"/>
  </pivotTables>
  <data>
    <tabular pivotCacheId="147648444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urity" xr10:uid="{4B5C051A-F863-46E2-8B75-FE97B8E11EB8}" sourceName="Maturity">
  <pivotTables>
    <pivotTable tabId="6" name="PivotTable3"/>
    <pivotTable tabId="4" name="PivotTable1"/>
    <pivotTable tabId="5" name="PivotTable2"/>
    <pivotTable tabId="7" name="PivotTable4"/>
    <pivotTable tabId="8" name="PivotTable5"/>
  </pivotTables>
  <data>
    <tabular pivotCacheId="147648444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B353D60F-2F59-4502-AA78-71E1EDDEFBB4}" sourceName="Tenure">
  <pivotTables>
    <pivotTable tabId="6" name="PivotTable3"/>
    <pivotTable tabId="4" name="PivotTable1"/>
    <pivotTable tabId="5" name="PivotTable2"/>
    <pivotTable tabId="7" name="PivotTable4"/>
    <pivotTable tabId="8" name="PivotTable5"/>
  </pivotTables>
  <data>
    <tabular pivotCacheId="14764844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90B6D412-F651-4C2B-943D-AE37E3552D21}" cache="Slicer_Party" caption="Party" rowHeight="180000"/>
  <slicer name="Rating" xr10:uid="{4E923DE1-7B1E-4628-97A0-A316523CC777}" cache="Slicer_Rating" caption="Rating" rowHeight="180000"/>
  <slicer name="Maturity" xr10:uid="{39912850-E1F1-4F4B-85EF-4CBD67B3E496}" cache="Slicer_Maturity" caption="Maturity" rowHeight="180000"/>
  <slicer name="Tenure" xr10:uid="{CFA6B5CF-1323-4B21-8691-85BB80D120B6}" cache="Slicer_Tenure" caption="Tenure"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938DD-B49D-4A7F-9964-47A39BC82015}" name="Table1" displayName="Table1" ref="A1:A2" insertRow="1" totalsRowShown="0">
  <autoFilter ref="A1:A2" xr:uid="{3B1938DD-B49D-4A7F-9964-47A39BC82015}"/>
  <tableColumns count="1">
    <tableColumn id="1" xr3:uid="{3537D7F4-0A16-4876-A1DC-775712D8D07A}"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E49A51-2DE1-4FCA-98D4-11DFCDD36C5C}" name="Table3" displayName="Table3" ref="A1:I16" totalsRowShown="0">
  <autoFilter ref="A1:I16" xr:uid="{18E49A51-2DE1-4FCA-98D4-11DFCDD36C5C}"/>
  <tableColumns count="9">
    <tableColumn id="1" xr3:uid="{5288C53F-5599-4313-AB06-8B4602642D4E}" name="Party"/>
    <tableColumn id="2" xr3:uid="{3C39F1A0-EDC5-4932-A9BD-DA5E68E42228}" name="Rating"/>
    <tableColumn id="3" xr3:uid="{4A50EC65-7CFD-4529-ADF9-4B7F99384512}" name="Maturity"/>
    <tableColumn id="4" xr3:uid="{F575A979-AEFC-494D-A105-A5F2F6D6C9DE}" name="Tenure"/>
    <tableColumn id="5" xr3:uid="{C6A6C321-FB95-4F87-AEB6-122998F357FD}" name="Inv Date" dataDxfId="4"/>
    <tableColumn id="6" xr3:uid="{47617168-AE63-46B0-BD43-410C9B5EBE87}" name="Mat Date" dataDxfId="3"/>
    <tableColumn id="7" xr3:uid="{3A2E2A8C-D1AD-4638-8E9E-E1D320E3A6F6}" name="Investment" dataDxfId="2"/>
    <tableColumn id="8" xr3:uid="{8779131E-FD6B-42A2-A7B1-A537D378B49B}" name="Interest Rate" dataDxfId="1"/>
    <tableColumn id="9" xr3:uid="{3DC5A33A-EB75-427C-A20E-7BA2A320A595}" name="Interest Inco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_Date" xr10:uid="{E9067C5A-A0DC-411F-B5AA-170FA5D61740}" sourceName="Inv Date">
  <pivotTables>
    <pivotTable tabId="8" name="PivotTable5"/>
    <pivotTable tabId="4" name="PivotTable1"/>
    <pivotTable tabId="5" name="PivotTable2"/>
    <pivotTable tabId="6" name="PivotTable3"/>
    <pivotTable tabId="7" name="PivotTable4"/>
  </pivotTables>
  <state minimalRefreshVersion="6" lastRefreshVersion="6" pivotCacheId="1476484448" filterType="unknown">
    <bounds startDate="2018-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 Date" xr10:uid="{1AF6A734-AF4C-4466-B4BD-D6DF0F130784}" cache="NativeTimeline_Inv_Date" caption="Inv Date" level="2" selectionLevel="2"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63EE5-CDE4-430F-87DE-44F03C4F7F2A}">
  <dimension ref="A1:Q66"/>
  <sheetViews>
    <sheetView zoomScale="109" workbookViewId="0">
      <selection activeCell="L59" sqref="L59"/>
    </sheetView>
  </sheetViews>
  <sheetFormatPr defaultRowHeight="14.4" x14ac:dyDescent="0.3"/>
  <cols>
    <col min="1" max="1" width="10.33203125" customWidth="1"/>
    <col min="7" max="7" width="10.88671875" customWidth="1"/>
    <col min="9" max="9" width="17.6640625" customWidth="1"/>
    <col min="11" max="12" width="10.33203125" bestFit="1" customWidth="1"/>
    <col min="13" max="13" width="17.6640625" customWidth="1"/>
  </cols>
  <sheetData>
    <row r="1" spans="1:17" x14ac:dyDescent="0.3">
      <c r="A1" t="s">
        <v>0</v>
      </c>
    </row>
    <row r="5" spans="1:17" x14ac:dyDescent="0.3">
      <c r="E5" s="1" t="s">
        <v>1</v>
      </c>
    </row>
    <row r="6" spans="1:17" x14ac:dyDescent="0.3">
      <c r="F6" t="s">
        <v>2</v>
      </c>
    </row>
    <row r="7" spans="1:17" x14ac:dyDescent="0.3">
      <c r="F7" t="s">
        <v>3</v>
      </c>
      <c r="M7">
        <v>1</v>
      </c>
      <c r="N7">
        <v>1</v>
      </c>
      <c r="O7">
        <v>1</v>
      </c>
    </row>
    <row r="8" spans="1:17" x14ac:dyDescent="0.3">
      <c r="F8" t="s">
        <v>4</v>
      </c>
      <c r="H8" t="s">
        <v>14</v>
      </c>
      <c r="M8">
        <v>1</v>
      </c>
      <c r="N8">
        <v>1</v>
      </c>
      <c r="O8">
        <v>1</v>
      </c>
    </row>
    <row r="9" spans="1:17" x14ac:dyDescent="0.3">
      <c r="C9" t="s">
        <v>2</v>
      </c>
      <c r="F9" t="s">
        <v>5</v>
      </c>
      <c r="H9" t="s">
        <v>15</v>
      </c>
      <c r="M9">
        <v>1</v>
      </c>
      <c r="N9">
        <v>1</v>
      </c>
      <c r="O9">
        <v>1</v>
      </c>
    </row>
    <row r="10" spans="1:17" x14ac:dyDescent="0.3">
      <c r="C10" t="s">
        <v>3</v>
      </c>
      <c r="D10" t="s">
        <v>23</v>
      </c>
      <c r="E10" t="s">
        <v>24</v>
      </c>
      <c r="F10" t="s">
        <v>14</v>
      </c>
      <c r="G10" t="s">
        <v>15</v>
      </c>
      <c r="H10" t="s">
        <v>16</v>
      </c>
      <c r="I10" t="s">
        <v>4</v>
      </c>
      <c r="J10" t="s">
        <v>17</v>
      </c>
      <c r="K10" t="s">
        <v>18</v>
      </c>
      <c r="L10" t="s">
        <v>19</v>
      </c>
      <c r="M10">
        <v>1</v>
      </c>
      <c r="N10">
        <v>1</v>
      </c>
      <c r="O10">
        <v>1</v>
      </c>
    </row>
    <row r="11" spans="1:17" x14ac:dyDescent="0.3">
      <c r="C11" t="s">
        <v>4</v>
      </c>
      <c r="F11" t="s">
        <v>7</v>
      </c>
      <c r="H11" t="s">
        <v>4</v>
      </c>
      <c r="M11">
        <v>1</v>
      </c>
      <c r="N11">
        <v>1</v>
      </c>
      <c r="O11">
        <v>1</v>
      </c>
      <c r="Q11" t="s">
        <v>25</v>
      </c>
    </row>
    <row r="12" spans="1:17" x14ac:dyDescent="0.3">
      <c r="C12" t="s">
        <v>5</v>
      </c>
      <c r="F12" t="s">
        <v>8</v>
      </c>
      <c r="H12" t="s">
        <v>17</v>
      </c>
      <c r="M12">
        <v>1</v>
      </c>
      <c r="N12">
        <v>1</v>
      </c>
      <c r="O12">
        <v>1</v>
      </c>
    </row>
    <row r="13" spans="1:17" x14ac:dyDescent="0.3">
      <c r="C13" t="s">
        <v>6</v>
      </c>
      <c r="F13" t="s">
        <v>9</v>
      </c>
      <c r="H13" t="s">
        <v>18</v>
      </c>
      <c r="M13">
        <v>1</v>
      </c>
      <c r="N13">
        <v>1</v>
      </c>
      <c r="O13">
        <v>1</v>
      </c>
    </row>
    <row r="14" spans="1:17" x14ac:dyDescent="0.3">
      <c r="C14" t="s">
        <v>7</v>
      </c>
      <c r="F14" t="s">
        <v>10</v>
      </c>
      <c r="H14" t="s">
        <v>19</v>
      </c>
    </row>
    <row r="15" spans="1:17" x14ac:dyDescent="0.3">
      <c r="C15" t="s">
        <v>8</v>
      </c>
      <c r="D15" t="s">
        <v>9</v>
      </c>
      <c r="E15" t="s">
        <v>10</v>
      </c>
      <c r="F15" t="s">
        <v>11</v>
      </c>
      <c r="G15" t="s">
        <v>12</v>
      </c>
      <c r="H15" t="s">
        <v>20</v>
      </c>
    </row>
    <row r="16" spans="1:17" x14ac:dyDescent="0.3">
      <c r="C16" t="s">
        <v>9</v>
      </c>
      <c r="G16" t="s">
        <v>13</v>
      </c>
      <c r="H16" t="s">
        <v>21</v>
      </c>
    </row>
    <row r="17" spans="3:14" x14ac:dyDescent="0.3">
      <c r="C17" t="s">
        <v>10</v>
      </c>
      <c r="G17" t="s">
        <v>2</v>
      </c>
      <c r="H17" t="s">
        <v>22</v>
      </c>
    </row>
    <row r="18" spans="3:14" x14ac:dyDescent="0.3">
      <c r="C18" t="s">
        <v>11</v>
      </c>
      <c r="G18" t="s">
        <v>3</v>
      </c>
      <c r="H18" t="s">
        <v>23</v>
      </c>
    </row>
    <row r="19" spans="3:14" x14ac:dyDescent="0.3">
      <c r="C19" t="s">
        <v>12</v>
      </c>
      <c r="G19" t="s">
        <v>4</v>
      </c>
    </row>
    <row r="20" spans="3:14" x14ac:dyDescent="0.3">
      <c r="C20" t="s">
        <v>13</v>
      </c>
      <c r="G20" t="s">
        <v>5</v>
      </c>
      <c r="K20" t="s">
        <v>26</v>
      </c>
      <c r="L20" t="s">
        <v>27</v>
      </c>
    </row>
    <row r="21" spans="3:14" x14ac:dyDescent="0.3">
      <c r="C21" t="s">
        <v>2</v>
      </c>
      <c r="G21" t="s">
        <v>6</v>
      </c>
      <c r="K21" s="2">
        <v>41525</v>
      </c>
      <c r="L21" s="2">
        <v>41556</v>
      </c>
      <c r="M21">
        <f>L21-K21</f>
        <v>31</v>
      </c>
    </row>
    <row r="22" spans="3:14" x14ac:dyDescent="0.3">
      <c r="C22" t="s">
        <v>3</v>
      </c>
      <c r="G22" t="s">
        <v>7</v>
      </c>
      <c r="N22">
        <f>NETWORKDAYS(K21,L21)</f>
        <v>23</v>
      </c>
    </row>
    <row r="27" spans="3:14" x14ac:dyDescent="0.3">
      <c r="H27" s="4"/>
      <c r="I27" s="4"/>
      <c r="K27" s="5"/>
      <c r="L27" s="4"/>
      <c r="M27" s="4"/>
    </row>
    <row r="28" spans="3:14" x14ac:dyDescent="0.3">
      <c r="H28" s="3"/>
      <c r="I28" s="3"/>
      <c r="K28" s="6"/>
      <c r="L28" s="3"/>
      <c r="M28" s="3"/>
    </row>
    <row r="29" spans="3:14" x14ac:dyDescent="0.3">
      <c r="H29" s="3"/>
      <c r="I29" s="3"/>
      <c r="K29" s="6"/>
      <c r="L29" s="3"/>
      <c r="M29" s="3"/>
    </row>
    <row r="30" spans="3:14" x14ac:dyDescent="0.3">
      <c r="H30" s="3"/>
      <c r="I30" s="3"/>
      <c r="K30" s="6"/>
      <c r="L30" s="3"/>
      <c r="M30" s="3"/>
    </row>
    <row r="31" spans="3:14" x14ac:dyDescent="0.3">
      <c r="H31" s="3"/>
      <c r="I31" s="3"/>
      <c r="K31" s="6"/>
      <c r="L31" s="3"/>
      <c r="M31" s="3"/>
    </row>
    <row r="32" spans="3:14" ht="28.8" x14ac:dyDescent="0.3">
      <c r="H32" s="3"/>
      <c r="I32" s="4" t="s">
        <v>28</v>
      </c>
      <c r="J32" s="4" t="s">
        <v>29</v>
      </c>
      <c r="K32" s="6"/>
      <c r="L32" s="5" t="s">
        <v>30</v>
      </c>
      <c r="M32" s="4" t="s">
        <v>28</v>
      </c>
      <c r="N32" s="4" t="s">
        <v>29</v>
      </c>
    </row>
    <row r="33" spans="5:14" x14ac:dyDescent="0.3">
      <c r="I33" s="3">
        <v>1</v>
      </c>
      <c r="J33" s="3">
        <v>0</v>
      </c>
      <c r="L33" s="6" t="s">
        <v>31</v>
      </c>
      <c r="M33" s="3">
        <v>4</v>
      </c>
      <c r="N33" s="3">
        <f>VLOOKUP(M33,$I$32:$J$37,2,FALSE)</f>
        <v>2</v>
      </c>
    </row>
    <row r="34" spans="5:14" x14ac:dyDescent="0.3">
      <c r="I34" s="3">
        <v>2</v>
      </c>
      <c r="J34" s="3">
        <v>0.5</v>
      </c>
      <c r="L34" s="6" t="s">
        <v>32</v>
      </c>
      <c r="M34" s="3">
        <v>5</v>
      </c>
      <c r="N34" s="3">
        <f t="shared" ref="N34:N37" si="0">VLOOKUP(M34,$I$32:$J$37,2,FALSE)</f>
        <v>2.5</v>
      </c>
    </row>
    <row r="35" spans="5:14" x14ac:dyDescent="0.3">
      <c r="I35" s="3">
        <v>3</v>
      </c>
      <c r="J35" s="3">
        <v>1.5</v>
      </c>
      <c r="L35" s="6" t="s">
        <v>33</v>
      </c>
      <c r="M35" s="3">
        <v>4</v>
      </c>
      <c r="N35" s="3">
        <f t="shared" si="0"/>
        <v>2</v>
      </c>
    </row>
    <row r="36" spans="5:14" x14ac:dyDescent="0.3">
      <c r="I36" s="3">
        <v>4</v>
      </c>
      <c r="J36" s="3">
        <v>2</v>
      </c>
      <c r="L36" s="6" t="s">
        <v>34</v>
      </c>
      <c r="M36" s="3">
        <v>2</v>
      </c>
      <c r="N36" s="3">
        <f t="shared" si="0"/>
        <v>0.5</v>
      </c>
    </row>
    <row r="37" spans="5:14" x14ac:dyDescent="0.3">
      <c r="I37" s="3">
        <v>5</v>
      </c>
      <c r="J37" s="3">
        <v>2.5</v>
      </c>
      <c r="L37" s="6" t="s">
        <v>35</v>
      </c>
      <c r="M37" s="3">
        <v>3</v>
      </c>
      <c r="N37" s="3">
        <f t="shared" si="0"/>
        <v>1.5</v>
      </c>
    </row>
    <row r="40" spans="5:14" ht="28.8" x14ac:dyDescent="0.3">
      <c r="E40" s="4" t="s">
        <v>36</v>
      </c>
      <c r="F40" s="5" t="s">
        <v>37</v>
      </c>
      <c r="G40" s="5" t="s">
        <v>38</v>
      </c>
      <c r="H40" s="4"/>
      <c r="I40" s="4" t="s">
        <v>36</v>
      </c>
      <c r="J40" s="5" t="s">
        <v>38</v>
      </c>
    </row>
    <row r="41" spans="5:14" x14ac:dyDescent="0.3">
      <c r="E41" s="3">
        <v>23</v>
      </c>
      <c r="F41" s="6" t="s">
        <v>39</v>
      </c>
      <c r="G41" s="4" t="str">
        <f>VLOOKUP(E41,$I$40:$J$49,2,FALSE)</f>
        <v>Palande</v>
      </c>
      <c r="H41" s="5"/>
      <c r="I41" s="3">
        <v>23</v>
      </c>
      <c r="J41" s="6" t="s">
        <v>48</v>
      </c>
    </row>
    <row r="42" spans="5:14" x14ac:dyDescent="0.3">
      <c r="E42" s="3">
        <v>45</v>
      </c>
      <c r="F42" s="6" t="s">
        <v>40</v>
      </c>
      <c r="G42" s="4" t="str">
        <f t="shared" ref="G42:G49" si="1">VLOOKUP(E42,$I$40:$J$49,2,FALSE)</f>
        <v>Mohin</v>
      </c>
      <c r="H42" s="6"/>
      <c r="I42" s="3">
        <v>45</v>
      </c>
      <c r="J42" s="6" t="s">
        <v>49</v>
      </c>
    </row>
    <row r="43" spans="5:14" x14ac:dyDescent="0.3">
      <c r="E43" s="3">
        <v>67</v>
      </c>
      <c r="F43" s="6" t="s">
        <v>41</v>
      </c>
      <c r="G43" s="4" t="str">
        <f t="shared" si="1"/>
        <v>Priyajit</v>
      </c>
      <c r="H43" s="6"/>
      <c r="I43" s="3">
        <v>67</v>
      </c>
      <c r="J43" s="6" t="s">
        <v>50</v>
      </c>
    </row>
    <row r="44" spans="5:14" x14ac:dyDescent="0.3">
      <c r="E44" s="3">
        <v>56</v>
      </c>
      <c r="F44" s="6" t="s">
        <v>42</v>
      </c>
      <c r="G44" s="4" t="str">
        <f t="shared" si="1"/>
        <v>Altaf</v>
      </c>
      <c r="H44" s="6"/>
      <c r="I44" s="3">
        <v>56</v>
      </c>
      <c r="J44" s="6" t="s">
        <v>51</v>
      </c>
    </row>
    <row r="45" spans="5:14" x14ac:dyDescent="0.3">
      <c r="E45" s="3">
        <v>44</v>
      </c>
      <c r="F45" s="6" t="s">
        <v>43</v>
      </c>
      <c r="G45" s="4" t="str">
        <f t="shared" si="1"/>
        <v>Altaf</v>
      </c>
      <c r="H45" s="6"/>
      <c r="I45" s="3">
        <v>44</v>
      </c>
      <c r="J45" s="6" t="s">
        <v>51</v>
      </c>
    </row>
    <row r="46" spans="5:14" x14ac:dyDescent="0.3">
      <c r="E46" s="3">
        <v>72</v>
      </c>
      <c r="F46" s="6" t="s">
        <v>44</v>
      </c>
      <c r="G46" s="4" t="str">
        <f t="shared" si="1"/>
        <v>Palande</v>
      </c>
      <c r="H46" s="6"/>
      <c r="I46" s="3">
        <v>72</v>
      </c>
      <c r="J46" s="6" t="s">
        <v>48</v>
      </c>
    </row>
    <row r="47" spans="5:14" x14ac:dyDescent="0.3">
      <c r="E47" s="3">
        <v>101</v>
      </c>
      <c r="F47" s="6" t="s">
        <v>45</v>
      </c>
      <c r="G47" s="4" t="str">
        <f t="shared" si="1"/>
        <v>Mohin</v>
      </c>
      <c r="H47" s="6"/>
      <c r="I47" s="3">
        <v>101</v>
      </c>
      <c r="J47" s="6" t="s">
        <v>49</v>
      </c>
    </row>
    <row r="48" spans="5:14" x14ac:dyDescent="0.3">
      <c r="E48" s="3">
        <v>103</v>
      </c>
      <c r="F48" s="6" t="s">
        <v>46</v>
      </c>
      <c r="G48" s="4" t="str">
        <f t="shared" si="1"/>
        <v>Priyajit</v>
      </c>
      <c r="H48" s="6"/>
      <c r="I48" s="3">
        <v>103</v>
      </c>
      <c r="J48" s="6" t="s">
        <v>50</v>
      </c>
    </row>
    <row r="49" spans="5:12" x14ac:dyDescent="0.3">
      <c r="E49" s="3">
        <v>105</v>
      </c>
      <c r="F49" s="6" t="s">
        <v>47</v>
      </c>
      <c r="G49" s="4" t="str">
        <f t="shared" si="1"/>
        <v>Altaf</v>
      </c>
      <c r="H49" s="6"/>
      <c r="I49" s="3">
        <v>105</v>
      </c>
      <c r="J49" s="6" t="s">
        <v>51</v>
      </c>
    </row>
    <row r="50" spans="5:12" x14ac:dyDescent="0.3">
      <c r="G50" s="3"/>
      <c r="H50" s="6"/>
    </row>
    <row r="57" spans="5:12" ht="28.8" x14ac:dyDescent="0.3">
      <c r="E57" s="5" t="s">
        <v>52</v>
      </c>
      <c r="F57" s="5" t="s">
        <v>53</v>
      </c>
      <c r="G57" s="4" t="s">
        <v>54</v>
      </c>
      <c r="K57" s="5" t="s">
        <v>53</v>
      </c>
      <c r="L57" s="4" t="s">
        <v>54</v>
      </c>
    </row>
    <row r="58" spans="5:12" x14ac:dyDescent="0.3">
      <c r="E58" s="6" t="s">
        <v>55</v>
      </c>
      <c r="F58" s="6" t="s">
        <v>56</v>
      </c>
      <c r="G58" s="3" t="s">
        <v>57</v>
      </c>
      <c r="K58" s="6" t="s">
        <v>56</v>
      </c>
      <c r="L58" s="3">
        <f>SUMIF(F58:F65,K58,G58:G65)</f>
        <v>0</v>
      </c>
    </row>
    <row r="59" spans="5:12" x14ac:dyDescent="0.3">
      <c r="E59" s="6" t="s">
        <v>58</v>
      </c>
      <c r="F59" s="6" t="s">
        <v>56</v>
      </c>
      <c r="G59" s="3" t="s">
        <v>59</v>
      </c>
      <c r="L59" s="3"/>
    </row>
    <row r="60" spans="5:12" x14ac:dyDescent="0.3">
      <c r="E60" s="6" t="s">
        <v>60</v>
      </c>
      <c r="F60" s="6" t="s">
        <v>56</v>
      </c>
      <c r="G60" s="3" t="s">
        <v>61</v>
      </c>
      <c r="L60" s="3"/>
    </row>
    <row r="61" spans="5:12" x14ac:dyDescent="0.3">
      <c r="E61" s="6" t="s">
        <v>62</v>
      </c>
      <c r="F61" s="6" t="s">
        <v>63</v>
      </c>
      <c r="G61" s="3" t="s">
        <v>64</v>
      </c>
      <c r="L61" s="3"/>
    </row>
    <row r="62" spans="5:12" x14ac:dyDescent="0.3">
      <c r="E62" s="6" t="s">
        <v>65</v>
      </c>
      <c r="F62" s="6" t="s">
        <v>63</v>
      </c>
      <c r="G62" s="3" t="s">
        <v>66</v>
      </c>
      <c r="L62" s="3"/>
    </row>
    <row r="63" spans="5:12" x14ac:dyDescent="0.3">
      <c r="E63" s="6" t="s">
        <v>67</v>
      </c>
      <c r="F63" s="6" t="s">
        <v>63</v>
      </c>
      <c r="G63" s="3" t="s">
        <v>68</v>
      </c>
      <c r="L63" s="3"/>
    </row>
    <row r="64" spans="5:12" ht="28.8" x14ac:dyDescent="0.3">
      <c r="E64" s="6" t="s">
        <v>69</v>
      </c>
      <c r="F64" s="6" t="s">
        <v>70</v>
      </c>
      <c r="G64" s="3" t="s">
        <v>71</v>
      </c>
      <c r="L64" s="3"/>
    </row>
    <row r="65" spans="5:12" ht="28.8" x14ac:dyDescent="0.3">
      <c r="E65" s="6" t="s">
        <v>72</v>
      </c>
      <c r="F65" s="6" t="s">
        <v>70</v>
      </c>
      <c r="G65" s="3" t="s">
        <v>73</v>
      </c>
      <c r="L65" s="3"/>
    </row>
    <row r="66" spans="5:12" x14ac:dyDescent="0.3">
      <c r="L66" s="3"/>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FE8D-987A-4126-8D78-C68D3CD83D8C}">
  <dimension ref="A3:D8"/>
  <sheetViews>
    <sheetView workbookViewId="0">
      <selection activeCell="D22" sqref="D22"/>
    </sheetView>
  </sheetViews>
  <sheetFormatPr defaultRowHeight="14.4" x14ac:dyDescent="0.3"/>
  <cols>
    <col min="1" max="1" width="16.44140625" bestFit="1" customWidth="1"/>
    <col min="2" max="2" width="15.5546875" bestFit="1" customWidth="1"/>
    <col min="3" max="3" width="7.5546875" bestFit="1" customWidth="1"/>
    <col min="4" max="4" width="10.5546875" bestFit="1" customWidth="1"/>
  </cols>
  <sheetData>
    <row r="3" spans="1:4" x14ac:dyDescent="0.3">
      <c r="A3" s="24" t="s">
        <v>95</v>
      </c>
      <c r="B3" s="24" t="s">
        <v>94</v>
      </c>
    </row>
    <row r="4" spans="1:4" x14ac:dyDescent="0.3">
      <c r="A4" s="24" t="s">
        <v>92</v>
      </c>
      <c r="B4" t="s">
        <v>89</v>
      </c>
      <c r="C4" t="s">
        <v>84</v>
      </c>
      <c r="D4" t="s">
        <v>93</v>
      </c>
    </row>
    <row r="5" spans="1:4" x14ac:dyDescent="0.3">
      <c r="A5" s="25" t="s">
        <v>87</v>
      </c>
      <c r="B5" s="13">
        <v>2100</v>
      </c>
      <c r="C5" s="13">
        <v>1370</v>
      </c>
      <c r="D5" s="13">
        <v>3470</v>
      </c>
    </row>
    <row r="6" spans="1:4" x14ac:dyDescent="0.3">
      <c r="A6" s="25" t="s">
        <v>86</v>
      </c>
      <c r="B6" s="13"/>
      <c r="C6" s="13">
        <v>2950</v>
      </c>
      <c r="D6" s="13">
        <v>2950</v>
      </c>
    </row>
    <row r="7" spans="1:4" x14ac:dyDescent="0.3">
      <c r="A7" s="25" t="s">
        <v>82</v>
      </c>
      <c r="B7" s="13">
        <v>500</v>
      </c>
      <c r="C7" s="13">
        <v>4300</v>
      </c>
      <c r="D7" s="13">
        <v>4800</v>
      </c>
    </row>
    <row r="8" spans="1:4" x14ac:dyDescent="0.3">
      <c r="A8" s="25" t="s">
        <v>93</v>
      </c>
      <c r="B8" s="13">
        <v>2600</v>
      </c>
      <c r="C8" s="13">
        <v>8620</v>
      </c>
      <c r="D8" s="13">
        <v>11220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B09A2-9A56-4A1A-94D8-DC543008E753}">
  <dimension ref="A3:B7"/>
  <sheetViews>
    <sheetView workbookViewId="0">
      <selection activeCell="F6" sqref="F6"/>
    </sheetView>
  </sheetViews>
  <sheetFormatPr defaultRowHeight="14.4" x14ac:dyDescent="0.3"/>
  <cols>
    <col min="1" max="1" width="12.44140625" bestFit="1" customWidth="1"/>
    <col min="2" max="2" width="16.44140625" bestFit="1" customWidth="1"/>
  </cols>
  <sheetData>
    <row r="3" spans="1:2" x14ac:dyDescent="0.3">
      <c r="A3" s="24" t="s">
        <v>92</v>
      </c>
      <c r="B3" t="s">
        <v>95</v>
      </c>
    </row>
    <row r="4" spans="1:2" x14ac:dyDescent="0.3">
      <c r="A4" s="25" t="s">
        <v>87</v>
      </c>
      <c r="B4" s="13">
        <v>3470</v>
      </c>
    </row>
    <row r="5" spans="1:2" x14ac:dyDescent="0.3">
      <c r="A5" s="25" t="s">
        <v>86</v>
      </c>
      <c r="B5" s="13">
        <v>2950</v>
      </c>
    </row>
    <row r="6" spans="1:2" x14ac:dyDescent="0.3">
      <c r="A6" s="25" t="s">
        <v>82</v>
      </c>
      <c r="B6" s="13">
        <v>4800</v>
      </c>
    </row>
    <row r="7" spans="1:2" x14ac:dyDescent="0.3">
      <c r="A7" s="25" t="s">
        <v>93</v>
      </c>
      <c r="B7" s="13">
        <v>11220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D873-B2E5-436C-A8B4-36C1C377D5F0}">
  <dimension ref="A3:B9"/>
  <sheetViews>
    <sheetView topLeftCell="S1" workbookViewId="0">
      <selection activeCell="AO26" sqref="AO26"/>
    </sheetView>
  </sheetViews>
  <sheetFormatPr defaultRowHeight="14.4" x14ac:dyDescent="0.3"/>
  <cols>
    <col min="1" max="1" width="12.44140625" bestFit="1" customWidth="1"/>
    <col min="2" max="2" width="20.5546875" bestFit="1" customWidth="1"/>
  </cols>
  <sheetData>
    <row r="3" spans="1:2" x14ac:dyDescent="0.3">
      <c r="A3" s="24" t="s">
        <v>92</v>
      </c>
      <c r="B3" t="s">
        <v>102</v>
      </c>
    </row>
    <row r="4" spans="1:2" x14ac:dyDescent="0.3">
      <c r="A4" s="25" t="s">
        <v>96</v>
      </c>
      <c r="B4" s="12">
        <v>8.4999999999999992E-2</v>
      </c>
    </row>
    <row r="5" spans="1:2" x14ac:dyDescent="0.3">
      <c r="A5" s="25" t="s">
        <v>97</v>
      </c>
      <c r="B5" s="12">
        <v>8.5000000000000006E-2</v>
      </c>
    </row>
    <row r="6" spans="1:2" x14ac:dyDescent="0.3">
      <c r="A6" s="25" t="s">
        <v>98</v>
      </c>
      <c r="B6" s="12">
        <v>8.5000000000000006E-2</v>
      </c>
    </row>
    <row r="7" spans="1:2" x14ac:dyDescent="0.3">
      <c r="A7" s="25" t="s">
        <v>99</v>
      </c>
      <c r="B7" s="12">
        <v>0.08</v>
      </c>
    </row>
    <row r="8" spans="1:2" x14ac:dyDescent="0.3">
      <c r="A8" s="25" t="s">
        <v>100</v>
      </c>
      <c r="B8" s="12">
        <v>9.0000000000000011E-2</v>
      </c>
    </row>
    <row r="9" spans="1:2" x14ac:dyDescent="0.3">
      <c r="A9" s="25" t="s">
        <v>93</v>
      </c>
      <c r="B9" s="12">
        <v>8.6000000000000007E-2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E0BB-C92F-43EE-9266-1B6E193D85DF}">
  <dimension ref="A3:E10"/>
  <sheetViews>
    <sheetView workbookViewId="0">
      <selection activeCell="A3" sqref="A3:E10"/>
    </sheetView>
  </sheetViews>
  <sheetFormatPr defaultRowHeight="14.4" x14ac:dyDescent="0.3"/>
  <cols>
    <col min="1" max="1" width="19.33203125" bestFit="1" customWidth="1"/>
    <col min="2" max="2" width="15.5546875" bestFit="1" customWidth="1"/>
    <col min="3" max="4" width="6" bestFit="1" customWidth="1"/>
    <col min="5" max="5" width="10.5546875" bestFit="1" customWidth="1"/>
  </cols>
  <sheetData>
    <row r="3" spans="1:5" x14ac:dyDescent="0.3">
      <c r="A3" s="24" t="s">
        <v>101</v>
      </c>
      <c r="B3" s="24" t="s">
        <v>94</v>
      </c>
    </row>
    <row r="4" spans="1:5" x14ac:dyDescent="0.3">
      <c r="A4" s="24" t="s">
        <v>92</v>
      </c>
      <c r="B4" t="s">
        <v>90</v>
      </c>
      <c r="C4" t="s">
        <v>83</v>
      </c>
      <c r="D4" t="s">
        <v>88</v>
      </c>
      <c r="E4" t="s">
        <v>93</v>
      </c>
    </row>
    <row r="5" spans="1:5" x14ac:dyDescent="0.3">
      <c r="A5" s="25" t="s">
        <v>96</v>
      </c>
      <c r="B5" s="13">
        <v>700</v>
      </c>
      <c r="C5" s="13"/>
      <c r="D5" s="13">
        <v>250</v>
      </c>
      <c r="E5" s="13">
        <v>475</v>
      </c>
    </row>
    <row r="6" spans="1:5" x14ac:dyDescent="0.3">
      <c r="A6" s="25" t="s">
        <v>97</v>
      </c>
      <c r="B6" s="13">
        <v>670</v>
      </c>
      <c r="C6" s="13"/>
      <c r="D6" s="13">
        <v>683.33333333333337</v>
      </c>
      <c r="E6" s="13">
        <v>680</v>
      </c>
    </row>
    <row r="7" spans="1:5" x14ac:dyDescent="0.3">
      <c r="A7" s="25" t="s">
        <v>98</v>
      </c>
      <c r="B7" s="13"/>
      <c r="C7" s="13">
        <v>500</v>
      </c>
      <c r="D7" s="13">
        <v>450</v>
      </c>
      <c r="E7" s="13">
        <v>487.5</v>
      </c>
    </row>
    <row r="8" spans="1:5" x14ac:dyDescent="0.3">
      <c r="A8" s="25" t="s">
        <v>99</v>
      </c>
      <c r="B8" s="13">
        <v>1200</v>
      </c>
      <c r="C8" s="13"/>
      <c r="D8" s="13"/>
      <c r="E8" s="13">
        <v>1200</v>
      </c>
    </row>
    <row r="9" spans="1:5" x14ac:dyDescent="0.3">
      <c r="A9" s="25" t="s">
        <v>100</v>
      </c>
      <c r="B9" s="13">
        <v>2300</v>
      </c>
      <c r="C9" s="13">
        <v>750</v>
      </c>
      <c r="D9" s="13">
        <v>600</v>
      </c>
      <c r="E9" s="13">
        <v>1100</v>
      </c>
    </row>
    <row r="10" spans="1:5" x14ac:dyDescent="0.3">
      <c r="A10" s="25" t="s">
        <v>93</v>
      </c>
      <c r="B10" s="13">
        <v>1217.5</v>
      </c>
      <c r="C10" s="13">
        <v>600</v>
      </c>
      <c r="D10" s="13">
        <v>558.33333333333337</v>
      </c>
      <c r="E10" s="13">
        <v>748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6480-8EFA-471C-BFFB-70A330A4BBC5}">
  <dimension ref="A3:C20"/>
  <sheetViews>
    <sheetView workbookViewId="0">
      <selection activeCell="A3" sqref="A3"/>
    </sheetView>
  </sheetViews>
  <sheetFormatPr defaultRowHeight="14.4" x14ac:dyDescent="0.3"/>
  <sheetData>
    <row r="3" spans="1:3" x14ac:dyDescent="0.3">
      <c r="A3" s="15"/>
      <c r="B3" s="16"/>
      <c r="C3" s="17"/>
    </row>
    <row r="4" spans="1:3" x14ac:dyDescent="0.3">
      <c r="A4" s="18"/>
      <c r="B4" s="19"/>
      <c r="C4" s="20"/>
    </row>
    <row r="5" spans="1:3" x14ac:dyDescent="0.3">
      <c r="A5" s="18"/>
      <c r="B5" s="19"/>
      <c r="C5" s="20"/>
    </row>
    <row r="6" spans="1:3" x14ac:dyDescent="0.3">
      <c r="A6" s="18"/>
      <c r="B6" s="19"/>
      <c r="C6" s="20"/>
    </row>
    <row r="7" spans="1:3" x14ac:dyDescent="0.3">
      <c r="A7" s="18"/>
      <c r="B7" s="19"/>
      <c r="C7" s="20"/>
    </row>
    <row r="8" spans="1:3" x14ac:dyDescent="0.3">
      <c r="A8" s="18"/>
      <c r="B8" s="19"/>
      <c r="C8" s="20"/>
    </row>
    <row r="9" spans="1:3" x14ac:dyDescent="0.3">
      <c r="A9" s="18"/>
      <c r="B9" s="19"/>
      <c r="C9" s="20"/>
    </row>
    <row r="10" spans="1:3" x14ac:dyDescent="0.3">
      <c r="A10" s="18"/>
      <c r="B10" s="19"/>
      <c r="C10" s="20"/>
    </row>
    <row r="11" spans="1:3" x14ac:dyDescent="0.3">
      <c r="A11" s="18"/>
      <c r="B11" s="19"/>
      <c r="C11" s="20"/>
    </row>
    <row r="12" spans="1:3" x14ac:dyDescent="0.3">
      <c r="A12" s="18"/>
      <c r="B12" s="19"/>
      <c r="C12" s="20"/>
    </row>
    <row r="13" spans="1:3" x14ac:dyDescent="0.3">
      <c r="A13" s="18"/>
      <c r="B13" s="19"/>
      <c r="C13" s="20"/>
    </row>
    <row r="14" spans="1:3" x14ac:dyDescent="0.3">
      <c r="A14" s="18"/>
      <c r="B14" s="19"/>
      <c r="C14" s="20"/>
    </row>
    <row r="15" spans="1:3" x14ac:dyDescent="0.3">
      <c r="A15" s="18"/>
      <c r="B15" s="19"/>
      <c r="C15" s="20"/>
    </row>
    <row r="16" spans="1:3" x14ac:dyDescent="0.3">
      <c r="A16" s="18"/>
      <c r="B16" s="19"/>
      <c r="C16" s="20"/>
    </row>
    <row r="17" spans="1:3" x14ac:dyDescent="0.3">
      <c r="A17" s="18"/>
      <c r="B17" s="19"/>
      <c r="C17" s="20"/>
    </row>
    <row r="18" spans="1:3" x14ac:dyDescent="0.3">
      <c r="A18" s="18"/>
      <c r="B18" s="19"/>
      <c r="C18" s="20"/>
    </row>
    <row r="19" spans="1:3" x14ac:dyDescent="0.3">
      <c r="A19" s="18"/>
      <c r="B19" s="19"/>
      <c r="C19" s="20"/>
    </row>
    <row r="20" spans="1:3" x14ac:dyDescent="0.3">
      <c r="A20" s="21"/>
      <c r="B20" s="22"/>
      <c r="C20"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E1314-7106-4903-8ADE-0DAC1893A0AE}">
  <dimension ref="A1:N63"/>
  <sheetViews>
    <sheetView zoomScale="126" workbookViewId="0">
      <selection activeCell="A3" sqref="A3"/>
    </sheetView>
  </sheetViews>
  <sheetFormatPr defaultRowHeight="14.4" x14ac:dyDescent="0.3"/>
  <cols>
    <col min="1" max="1" width="6.6640625" customWidth="1"/>
    <col min="2" max="2" width="7.5546875" customWidth="1"/>
    <col min="3" max="3" width="9.21875" customWidth="1"/>
    <col min="4" max="4" width="9.33203125" bestFit="1" customWidth="1"/>
    <col min="5" max="6" width="10.5546875" bestFit="1" customWidth="1"/>
    <col min="7" max="7" width="11.77734375" customWidth="1"/>
    <col min="8" max="8" width="13" customWidth="1"/>
    <col min="9" max="9" width="15.5546875" customWidth="1"/>
    <col min="10" max="10" width="7.88671875" customWidth="1"/>
    <col min="11" max="11" width="10.5546875" customWidth="1"/>
  </cols>
  <sheetData>
    <row r="1" spans="1:14" x14ac:dyDescent="0.3">
      <c r="A1" s="5" t="s">
        <v>74</v>
      </c>
      <c r="B1" s="5" t="s">
        <v>28</v>
      </c>
      <c r="C1" t="s">
        <v>75</v>
      </c>
      <c r="D1" s="5" t="s">
        <v>76</v>
      </c>
      <c r="E1" s="4" t="s">
        <v>77</v>
      </c>
      <c r="F1" t="s">
        <v>78</v>
      </c>
      <c r="G1" t="s">
        <v>79</v>
      </c>
      <c r="H1" s="4" t="s">
        <v>80</v>
      </c>
      <c r="I1" s="5" t="s">
        <v>81</v>
      </c>
      <c r="J1" s="4"/>
      <c r="M1" s="4"/>
      <c r="N1" s="5"/>
    </row>
    <row r="2" spans="1:14" x14ac:dyDescent="0.3">
      <c r="A2" s="6" t="s">
        <v>82</v>
      </c>
      <c r="B2" s="6" t="s">
        <v>83</v>
      </c>
      <c r="C2" t="s">
        <v>84</v>
      </c>
      <c r="D2" s="6" t="s">
        <v>85</v>
      </c>
      <c r="E2" s="10">
        <v>43873</v>
      </c>
      <c r="F2" s="2">
        <v>44969</v>
      </c>
      <c r="G2" s="13">
        <v>500</v>
      </c>
      <c r="H2" s="11">
        <v>0.09</v>
      </c>
      <c r="I2" s="14">
        <v>45</v>
      </c>
      <c r="J2" s="3"/>
      <c r="K2" s="7"/>
      <c r="M2" s="3"/>
      <c r="N2" s="6"/>
    </row>
    <row r="3" spans="1:14" x14ac:dyDescent="0.3">
      <c r="A3" s="6" t="s">
        <v>86</v>
      </c>
      <c r="B3" s="6" t="s">
        <v>83</v>
      </c>
      <c r="C3" t="s">
        <v>84</v>
      </c>
      <c r="D3" t="s">
        <v>85</v>
      </c>
      <c r="E3" s="2">
        <v>43873</v>
      </c>
      <c r="F3" s="2">
        <v>44969</v>
      </c>
      <c r="G3" s="13">
        <v>500</v>
      </c>
      <c r="H3" s="11">
        <v>0.1</v>
      </c>
      <c r="I3" s="14">
        <v>50</v>
      </c>
      <c r="J3" s="3"/>
      <c r="K3" s="7"/>
      <c r="M3" s="3"/>
      <c r="N3" s="6"/>
    </row>
    <row r="4" spans="1:14" x14ac:dyDescent="0.3">
      <c r="A4" s="6" t="s">
        <v>87</v>
      </c>
      <c r="B4" s="6" t="s">
        <v>88</v>
      </c>
      <c r="C4" t="s">
        <v>84</v>
      </c>
      <c r="D4" t="s">
        <v>85</v>
      </c>
      <c r="E4" s="2">
        <v>43997</v>
      </c>
      <c r="F4" s="2">
        <v>45092</v>
      </c>
      <c r="G4" s="13">
        <v>450</v>
      </c>
      <c r="H4" s="11">
        <v>0.09</v>
      </c>
      <c r="I4" s="14">
        <v>41</v>
      </c>
      <c r="J4" s="3"/>
      <c r="K4" s="7"/>
      <c r="M4" s="3"/>
      <c r="N4" s="6"/>
    </row>
    <row r="5" spans="1:14" x14ac:dyDescent="0.3">
      <c r="A5" s="6" t="s">
        <v>87</v>
      </c>
      <c r="B5" s="6" t="s">
        <v>88</v>
      </c>
      <c r="C5" t="s">
        <v>89</v>
      </c>
      <c r="D5" t="s">
        <v>85</v>
      </c>
      <c r="E5" s="2">
        <v>43700</v>
      </c>
      <c r="F5" s="2">
        <v>44796</v>
      </c>
      <c r="G5" s="13">
        <v>900</v>
      </c>
      <c r="H5" s="11">
        <v>0.1</v>
      </c>
      <c r="I5" s="14">
        <v>90</v>
      </c>
      <c r="J5" s="3"/>
      <c r="K5" s="7"/>
      <c r="M5" s="3"/>
      <c r="N5" s="6"/>
    </row>
    <row r="6" spans="1:14" x14ac:dyDescent="0.3">
      <c r="A6" s="6" t="s">
        <v>87</v>
      </c>
      <c r="B6" s="6" t="s">
        <v>90</v>
      </c>
      <c r="C6" t="s">
        <v>89</v>
      </c>
      <c r="D6" t="s">
        <v>91</v>
      </c>
      <c r="E6" s="2">
        <v>44346</v>
      </c>
      <c r="F6" s="2">
        <v>44711</v>
      </c>
      <c r="G6" s="13">
        <v>1200</v>
      </c>
      <c r="H6" s="11">
        <v>0.08</v>
      </c>
      <c r="I6" s="14">
        <v>96</v>
      </c>
      <c r="J6" s="3"/>
      <c r="K6" s="7"/>
      <c r="M6" s="3"/>
      <c r="N6" s="6"/>
    </row>
    <row r="7" spans="1:14" x14ac:dyDescent="0.3">
      <c r="A7" s="6" t="s">
        <v>87</v>
      </c>
      <c r="B7" s="6" t="s">
        <v>90</v>
      </c>
      <c r="C7" t="s">
        <v>84</v>
      </c>
      <c r="D7" t="s">
        <v>85</v>
      </c>
      <c r="E7" s="2">
        <v>43651</v>
      </c>
      <c r="F7" s="2">
        <v>44747</v>
      </c>
      <c r="G7" s="13">
        <v>670</v>
      </c>
      <c r="H7" s="11">
        <v>7.0000000000000007E-2</v>
      </c>
      <c r="I7" s="14">
        <v>47</v>
      </c>
      <c r="J7" s="3"/>
      <c r="K7" s="7"/>
      <c r="M7" s="3"/>
      <c r="N7" s="6"/>
    </row>
    <row r="8" spans="1:14" x14ac:dyDescent="0.3">
      <c r="A8" s="6" t="s">
        <v>86</v>
      </c>
      <c r="B8" s="6" t="s">
        <v>90</v>
      </c>
      <c r="C8" t="s">
        <v>84</v>
      </c>
      <c r="D8" t="s">
        <v>85</v>
      </c>
      <c r="E8" s="2">
        <v>43347</v>
      </c>
      <c r="F8" s="2">
        <v>44808</v>
      </c>
      <c r="G8" s="13">
        <v>700</v>
      </c>
      <c r="H8" s="11">
        <v>0.09</v>
      </c>
      <c r="I8" s="14">
        <v>63</v>
      </c>
      <c r="J8" s="3"/>
      <c r="K8" s="7"/>
      <c r="M8" s="3"/>
      <c r="N8" s="6"/>
    </row>
    <row r="9" spans="1:14" x14ac:dyDescent="0.3">
      <c r="A9" t="s">
        <v>82</v>
      </c>
      <c r="B9" t="s">
        <v>88</v>
      </c>
      <c r="C9" t="s">
        <v>89</v>
      </c>
      <c r="D9" t="s">
        <v>85</v>
      </c>
      <c r="E9" s="2">
        <v>43651</v>
      </c>
      <c r="F9" s="2">
        <v>44747</v>
      </c>
      <c r="G9" s="13">
        <v>500</v>
      </c>
      <c r="H9" s="11">
        <v>0.09</v>
      </c>
      <c r="I9" s="14">
        <v>45</v>
      </c>
      <c r="J9" s="3"/>
      <c r="K9" s="7"/>
      <c r="M9" s="3"/>
      <c r="N9" s="6"/>
    </row>
    <row r="10" spans="1:14" x14ac:dyDescent="0.3">
      <c r="A10" t="s">
        <v>82</v>
      </c>
      <c r="B10" t="s">
        <v>83</v>
      </c>
      <c r="C10" t="s">
        <v>84</v>
      </c>
      <c r="D10" t="s">
        <v>91</v>
      </c>
      <c r="E10" s="2">
        <v>44749</v>
      </c>
      <c r="F10" s="2">
        <v>45114</v>
      </c>
      <c r="G10" s="13">
        <v>1200</v>
      </c>
      <c r="H10" s="11">
        <v>0.11</v>
      </c>
      <c r="I10" s="14">
        <v>132</v>
      </c>
      <c r="J10" s="3"/>
      <c r="K10" s="7"/>
      <c r="M10" s="3"/>
      <c r="N10" s="6"/>
    </row>
    <row r="11" spans="1:14" x14ac:dyDescent="0.3">
      <c r="A11" t="s">
        <v>82</v>
      </c>
      <c r="B11" t="s">
        <v>90</v>
      </c>
      <c r="C11" t="s">
        <v>84</v>
      </c>
      <c r="D11" t="s">
        <v>91</v>
      </c>
      <c r="E11" s="2">
        <v>44765</v>
      </c>
      <c r="F11" s="2">
        <v>45130</v>
      </c>
      <c r="G11" s="13">
        <v>2300</v>
      </c>
      <c r="H11" s="11">
        <v>0.08</v>
      </c>
      <c r="I11" s="14">
        <v>184</v>
      </c>
      <c r="J11" s="3"/>
      <c r="K11" s="7"/>
      <c r="M11" s="3"/>
      <c r="N11" s="6"/>
    </row>
    <row r="12" spans="1:14" x14ac:dyDescent="0.3">
      <c r="A12" t="s">
        <v>82</v>
      </c>
      <c r="B12" t="s">
        <v>83</v>
      </c>
      <c r="C12" t="s">
        <v>84</v>
      </c>
      <c r="D12" t="s">
        <v>91</v>
      </c>
      <c r="E12" s="2">
        <v>44765</v>
      </c>
      <c r="F12" s="2">
        <v>45130</v>
      </c>
      <c r="G12" s="13">
        <v>300</v>
      </c>
      <c r="H12" s="11">
        <v>0.09</v>
      </c>
      <c r="I12" s="14">
        <v>27</v>
      </c>
      <c r="J12" s="3"/>
      <c r="K12" s="7"/>
      <c r="M12" s="3"/>
      <c r="N12" s="6"/>
    </row>
    <row r="13" spans="1:14" x14ac:dyDescent="0.3">
      <c r="A13" t="s">
        <v>86</v>
      </c>
      <c r="B13" t="s">
        <v>83</v>
      </c>
      <c r="C13" t="s">
        <v>84</v>
      </c>
      <c r="D13" t="s">
        <v>85</v>
      </c>
      <c r="E13" s="2">
        <v>43988</v>
      </c>
      <c r="F13" s="2">
        <v>45083</v>
      </c>
      <c r="G13" s="13">
        <v>500</v>
      </c>
      <c r="H13" s="11">
        <v>0.06</v>
      </c>
      <c r="I13" s="14">
        <v>30</v>
      </c>
      <c r="J13" s="3"/>
      <c r="K13" s="7"/>
      <c r="M13" s="3"/>
      <c r="N13" s="6"/>
    </row>
    <row r="14" spans="1:14" x14ac:dyDescent="0.3">
      <c r="A14" t="s">
        <v>86</v>
      </c>
      <c r="B14" t="s">
        <v>88</v>
      </c>
      <c r="C14" t="s">
        <v>84</v>
      </c>
      <c r="D14" t="s">
        <v>91</v>
      </c>
      <c r="E14" s="2">
        <v>44790</v>
      </c>
      <c r="F14" s="2">
        <v>45155</v>
      </c>
      <c r="G14" s="13">
        <v>600</v>
      </c>
      <c r="H14" s="11">
        <v>0.08</v>
      </c>
      <c r="I14" s="14">
        <v>48</v>
      </c>
      <c r="J14" s="3"/>
      <c r="K14" s="7"/>
      <c r="M14" s="3"/>
      <c r="N14" s="6"/>
    </row>
    <row r="15" spans="1:14" x14ac:dyDescent="0.3">
      <c r="A15" t="s">
        <v>86</v>
      </c>
      <c r="B15" t="s">
        <v>88</v>
      </c>
      <c r="C15" t="s">
        <v>84</v>
      </c>
      <c r="D15" t="s">
        <v>85</v>
      </c>
      <c r="E15" s="2">
        <v>43598</v>
      </c>
      <c r="F15" s="2">
        <v>44694</v>
      </c>
      <c r="G15" s="13">
        <v>650</v>
      </c>
      <c r="H15" s="11">
        <v>0.08</v>
      </c>
      <c r="I15" s="14">
        <v>52</v>
      </c>
      <c r="J15" s="3"/>
      <c r="K15" s="7"/>
      <c r="M15" s="3"/>
      <c r="N15" s="6"/>
    </row>
    <row r="16" spans="1:14" x14ac:dyDescent="0.3">
      <c r="A16" t="s">
        <v>87</v>
      </c>
      <c r="B16" t="s">
        <v>88</v>
      </c>
      <c r="C16" t="s">
        <v>84</v>
      </c>
      <c r="D16" t="s">
        <v>85</v>
      </c>
      <c r="E16" s="2">
        <v>43203</v>
      </c>
      <c r="F16" s="2">
        <v>44299</v>
      </c>
      <c r="G16" s="13">
        <v>250</v>
      </c>
      <c r="H16" s="12">
        <v>0.08</v>
      </c>
      <c r="I16" s="13">
        <v>20</v>
      </c>
    </row>
    <row r="17" spans="1:9" x14ac:dyDescent="0.3">
      <c r="A17" s="5"/>
      <c r="B17" s="5"/>
      <c r="D17" s="5"/>
      <c r="E17" s="4"/>
      <c r="H17" s="4"/>
      <c r="I17" s="5"/>
    </row>
    <row r="18" spans="1:9" x14ac:dyDescent="0.3">
      <c r="A18" s="6"/>
      <c r="B18" s="6"/>
      <c r="D18" s="6"/>
      <c r="E18" s="10"/>
      <c r="F18" s="2"/>
      <c r="H18" s="11"/>
      <c r="I18" s="6"/>
    </row>
    <row r="19" spans="1:9" x14ac:dyDescent="0.3">
      <c r="A19" s="6"/>
      <c r="B19" s="6"/>
      <c r="E19" s="2"/>
      <c r="F19" s="2"/>
      <c r="H19" s="11"/>
      <c r="I19" s="6"/>
    </row>
    <row r="20" spans="1:9" x14ac:dyDescent="0.3">
      <c r="A20" s="5"/>
    </row>
    <row r="21" spans="1:9" x14ac:dyDescent="0.3">
      <c r="A21" s="6"/>
    </row>
    <row r="22" spans="1:9" x14ac:dyDescent="0.3">
      <c r="A22" s="6"/>
    </row>
    <row r="23" spans="1:9" x14ac:dyDescent="0.3">
      <c r="A23" s="6"/>
    </row>
    <row r="24" spans="1:9" x14ac:dyDescent="0.3">
      <c r="A24" s="6"/>
    </row>
    <row r="25" spans="1:9" x14ac:dyDescent="0.3">
      <c r="A25" s="6"/>
    </row>
    <row r="26" spans="1:9" x14ac:dyDescent="0.3">
      <c r="A26" s="6"/>
    </row>
    <row r="27" spans="1:9" x14ac:dyDescent="0.3">
      <c r="A27" s="6"/>
    </row>
    <row r="28" spans="1:9" x14ac:dyDescent="0.3">
      <c r="A28" s="6"/>
    </row>
    <row r="29" spans="1:9" x14ac:dyDescent="0.3">
      <c r="A29" s="6"/>
    </row>
    <row r="34" spans="1:10" x14ac:dyDescent="0.3">
      <c r="A34" s="5"/>
      <c r="B34" s="5"/>
      <c r="C34" s="4"/>
      <c r="D34" s="4"/>
      <c r="E34" s="5"/>
      <c r="F34" s="5"/>
      <c r="G34" s="4"/>
      <c r="J34">
        <f>SUM(C35:C63)</f>
        <v>0</v>
      </c>
    </row>
    <row r="35" spans="1:10" x14ac:dyDescent="0.3">
      <c r="A35" s="8"/>
      <c r="B35" s="6"/>
      <c r="C35" s="3"/>
      <c r="D35" s="3"/>
      <c r="E35" s="6"/>
      <c r="F35" s="6"/>
      <c r="G35" s="3"/>
      <c r="J35" s="9"/>
    </row>
    <row r="36" spans="1:10" x14ac:dyDescent="0.3">
      <c r="A36" s="8"/>
      <c r="B36" s="6"/>
      <c r="C36" s="3"/>
      <c r="D36" s="3"/>
      <c r="E36" s="6"/>
      <c r="F36" s="6"/>
      <c r="G36" s="3"/>
    </row>
    <row r="37" spans="1:10" x14ac:dyDescent="0.3">
      <c r="A37" s="8"/>
      <c r="B37" s="6"/>
      <c r="C37" s="3"/>
      <c r="D37" s="3"/>
      <c r="E37" s="6"/>
      <c r="F37" s="6"/>
      <c r="G37" s="3"/>
    </row>
    <row r="38" spans="1:10" x14ac:dyDescent="0.3">
      <c r="A38" s="8"/>
      <c r="B38" s="6"/>
      <c r="C38" s="3"/>
      <c r="D38" s="3"/>
      <c r="E38" s="6"/>
      <c r="F38" s="6"/>
      <c r="G38" s="3"/>
    </row>
    <row r="39" spans="1:10" x14ac:dyDescent="0.3">
      <c r="A39" s="8"/>
      <c r="B39" s="6"/>
      <c r="C39" s="3"/>
      <c r="D39" s="3"/>
      <c r="E39" s="6"/>
      <c r="F39" s="6"/>
      <c r="G39" s="3"/>
    </row>
    <row r="40" spans="1:10" x14ac:dyDescent="0.3">
      <c r="A40" s="8"/>
      <c r="B40" s="6"/>
      <c r="C40" s="3"/>
      <c r="D40" s="3"/>
      <c r="E40" s="6"/>
      <c r="F40" s="6"/>
      <c r="G40" s="3"/>
    </row>
    <row r="41" spans="1:10" x14ac:dyDescent="0.3">
      <c r="A41" s="8"/>
      <c r="B41" s="6"/>
      <c r="C41" s="3"/>
      <c r="D41" s="3"/>
      <c r="E41" s="6"/>
      <c r="F41" s="6"/>
      <c r="G41" s="3"/>
    </row>
    <row r="42" spans="1:10" x14ac:dyDescent="0.3">
      <c r="A42" s="8"/>
      <c r="B42" s="6"/>
      <c r="C42" s="3"/>
      <c r="D42" s="3"/>
      <c r="E42" s="6"/>
      <c r="F42" s="6"/>
      <c r="G42" s="3"/>
    </row>
    <row r="43" spans="1:10" x14ac:dyDescent="0.3">
      <c r="A43" s="8"/>
      <c r="B43" s="6"/>
      <c r="C43" s="3"/>
      <c r="D43" s="3"/>
      <c r="E43" s="6"/>
      <c r="F43" s="6"/>
      <c r="G43" s="3"/>
    </row>
    <row r="44" spans="1:10" x14ac:dyDescent="0.3">
      <c r="A44" s="8"/>
      <c r="B44" s="6"/>
      <c r="C44" s="3"/>
      <c r="D44" s="3"/>
      <c r="E44" s="6"/>
      <c r="F44" s="6"/>
      <c r="G44" s="3"/>
    </row>
    <row r="45" spans="1:10" x14ac:dyDescent="0.3">
      <c r="A45" s="8"/>
      <c r="B45" s="6"/>
      <c r="C45" s="3"/>
      <c r="D45" s="3"/>
      <c r="E45" s="6"/>
      <c r="F45" s="6"/>
      <c r="G45" s="3"/>
    </row>
    <row r="46" spans="1:10" x14ac:dyDescent="0.3">
      <c r="A46" s="8"/>
      <c r="B46" s="6"/>
      <c r="C46" s="3"/>
      <c r="D46" s="3"/>
      <c r="E46" s="6"/>
      <c r="F46" s="6"/>
      <c r="G46" s="3"/>
    </row>
    <row r="47" spans="1:10" x14ac:dyDescent="0.3">
      <c r="A47" s="8"/>
      <c r="B47" s="6"/>
      <c r="C47" s="3"/>
      <c r="D47" s="3"/>
      <c r="E47" s="6"/>
      <c r="F47" s="6"/>
      <c r="G47" s="3"/>
    </row>
    <row r="48" spans="1:10" x14ac:dyDescent="0.3">
      <c r="A48" s="8"/>
      <c r="B48" s="6"/>
      <c r="C48" s="3"/>
      <c r="D48" s="3"/>
      <c r="E48" s="6"/>
      <c r="F48" s="6"/>
      <c r="G48" s="3"/>
    </row>
    <row r="49" spans="1:7" x14ac:dyDescent="0.3">
      <c r="A49" s="8"/>
      <c r="B49" s="6"/>
      <c r="C49" s="3"/>
      <c r="D49" s="3"/>
      <c r="E49" s="6"/>
      <c r="F49" s="6"/>
      <c r="G49" s="3"/>
    </row>
    <row r="50" spans="1:7" x14ac:dyDescent="0.3">
      <c r="A50" s="8"/>
      <c r="B50" s="6"/>
      <c r="C50" s="3"/>
      <c r="D50" s="3"/>
      <c r="E50" s="6"/>
      <c r="F50" s="6"/>
      <c r="G50" s="3"/>
    </row>
    <row r="51" spans="1:7" x14ac:dyDescent="0.3">
      <c r="A51" s="8"/>
      <c r="B51" s="6"/>
      <c r="C51" s="3"/>
      <c r="D51" s="3"/>
      <c r="E51" s="6"/>
      <c r="F51" s="6"/>
      <c r="G51" s="3"/>
    </row>
    <row r="52" spans="1:7" x14ac:dyDescent="0.3">
      <c r="A52" s="8"/>
      <c r="B52" s="6"/>
      <c r="C52" s="3"/>
      <c r="D52" s="3"/>
      <c r="E52" s="6"/>
      <c r="F52" s="6"/>
      <c r="G52" s="3"/>
    </row>
    <row r="53" spans="1:7" x14ac:dyDescent="0.3">
      <c r="A53" s="8"/>
      <c r="B53" s="6"/>
      <c r="C53" s="3"/>
      <c r="D53" s="3"/>
      <c r="E53" s="6"/>
      <c r="F53" s="6"/>
      <c r="G53" s="3"/>
    </row>
    <row r="54" spans="1:7" x14ac:dyDescent="0.3">
      <c r="A54" s="8"/>
      <c r="B54" s="6"/>
      <c r="C54" s="3"/>
      <c r="D54" s="3"/>
      <c r="E54" s="6"/>
      <c r="F54" s="6"/>
      <c r="G54" s="3"/>
    </row>
    <row r="55" spans="1:7" x14ac:dyDescent="0.3">
      <c r="A55" s="8"/>
      <c r="B55" s="6"/>
      <c r="C55" s="3"/>
      <c r="D55" s="3"/>
      <c r="E55" s="6"/>
      <c r="F55" s="6"/>
      <c r="G55" s="3"/>
    </row>
    <row r="56" spans="1:7" x14ac:dyDescent="0.3">
      <c r="A56" s="8"/>
      <c r="B56" s="6"/>
      <c r="C56" s="3"/>
      <c r="D56" s="3"/>
      <c r="E56" s="6"/>
      <c r="F56" s="6"/>
      <c r="G56" s="3"/>
    </row>
    <row r="57" spans="1:7" x14ac:dyDescent="0.3">
      <c r="A57" s="8"/>
      <c r="B57" s="6"/>
      <c r="C57" s="3"/>
      <c r="D57" s="3"/>
      <c r="E57" s="6"/>
      <c r="F57" s="6"/>
      <c r="G57" s="3"/>
    </row>
    <row r="58" spans="1:7" x14ac:dyDescent="0.3">
      <c r="A58" s="8"/>
      <c r="B58" s="6"/>
      <c r="C58" s="3"/>
      <c r="D58" s="3"/>
      <c r="E58" s="6"/>
      <c r="F58" s="6"/>
      <c r="G58" s="3"/>
    </row>
    <row r="59" spans="1:7" x14ac:dyDescent="0.3">
      <c r="A59" s="8"/>
      <c r="B59" s="6"/>
      <c r="C59" s="3"/>
      <c r="D59" s="3"/>
      <c r="E59" s="6"/>
      <c r="F59" s="6"/>
      <c r="G59" s="3"/>
    </row>
    <row r="60" spans="1:7" x14ac:dyDescent="0.3">
      <c r="A60" s="8"/>
      <c r="B60" s="6"/>
      <c r="C60" s="3"/>
      <c r="D60" s="3"/>
      <c r="E60" s="6"/>
      <c r="F60" s="6"/>
      <c r="G60" s="3"/>
    </row>
    <row r="61" spans="1:7" x14ac:dyDescent="0.3">
      <c r="A61" s="8"/>
      <c r="B61" s="6"/>
      <c r="C61" s="3"/>
      <c r="D61" s="3"/>
      <c r="E61" s="6"/>
      <c r="F61" s="6"/>
      <c r="G61" s="3"/>
    </row>
    <row r="62" spans="1:7" x14ac:dyDescent="0.3">
      <c r="A62" s="8"/>
      <c r="B62" s="6"/>
      <c r="C62" s="3"/>
      <c r="D62" s="3"/>
      <c r="E62" s="6"/>
      <c r="F62" s="6"/>
      <c r="G62" s="3"/>
    </row>
    <row r="63" spans="1:7" x14ac:dyDescent="0.3">
      <c r="A63" s="8"/>
      <c r="B63" s="6"/>
      <c r="C63" s="3"/>
      <c r="D63" s="3"/>
      <c r="E63" s="6"/>
      <c r="F63" s="6"/>
      <c r="G63"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16598-DCFB-44D0-8FC5-20C3ABF02D56}">
  <dimension ref="AC28"/>
  <sheetViews>
    <sheetView tabSelected="1" zoomScale="53" zoomScaleNormal="44" workbookViewId="0">
      <selection activeCell="AQ19" sqref="AQ19"/>
    </sheetView>
  </sheetViews>
  <sheetFormatPr defaultRowHeight="14.4" x14ac:dyDescent="0.3"/>
  <cols>
    <col min="1" max="16384" width="8.88671875" style="26"/>
  </cols>
  <sheetData>
    <row r="28" spans="29:29" x14ac:dyDescent="0.3">
      <c r="AC28" s="26" t="s">
        <v>103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87DE65-BDD9-4041-853E-9FFCDCA16B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Sheet1</vt:lpstr>
      <vt:lpstr>chart1</vt:lpstr>
      <vt:lpstr>chart2</vt:lpstr>
      <vt:lpstr>chart3</vt:lpstr>
      <vt:lpstr>chart4</vt:lpstr>
      <vt:lpstr>chart5</vt:lpstr>
      <vt:lpstr>project data</vt:lpstr>
      <vt:lpstr>Dashboard</vt:lpstr>
      <vt:lpstr>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kanike siddhartha</dc:creator>
  <cp:lastModifiedBy>kanike siddhartha</cp:lastModifiedBy>
  <dcterms:created xsi:type="dcterms:W3CDTF">2026-10-01T17:32:11Z</dcterms:created>
  <dcterms:modified xsi:type="dcterms:W3CDTF">2026-10-07T16:58:38Z</dcterms:modified>
</cp:coreProperties>
</file>